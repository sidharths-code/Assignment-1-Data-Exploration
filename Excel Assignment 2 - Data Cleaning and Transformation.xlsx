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id/Desktop/"/>
    </mc:Choice>
  </mc:AlternateContent>
  <xr:revisionPtr revIDLastSave="0" documentId="13_ncr:1_{97E1E28F-0BA2-EC46-A41A-7365E33DE019}" xr6:coauthVersionLast="47" xr6:coauthVersionMax="47" xr10:uidLastSave="{00000000-0000-0000-0000-000000000000}"/>
  <bookViews>
    <workbookView xWindow="0" yWindow="660" windowWidth="29400" windowHeight="16980" activeTab="1" xr2:uid="{00000000-000D-0000-FFFF-FFFF00000000}"/>
  </bookViews>
  <sheets>
    <sheet name="Instructions" sheetId="1" r:id="rId1"/>
    <sheet name="Dataset" sheetId="2" r:id="rId2"/>
    <sheet name="Sheet1" sheetId="3" r:id="rId3"/>
  </sheets>
  <definedNames>
    <definedName name="_xlnm._FilterDatabase" localSheetId="1" hidden="1">Dataset!$I$1:$P$35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2" i="2"/>
  <c r="K2" i="2"/>
  <c r="K3" i="2"/>
  <c r="K4" i="2"/>
  <c r="K5" i="2"/>
  <c r="K6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31" i="2"/>
  <c r="P3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2" i="2"/>
  <c r="M3" i="2"/>
  <c r="M4" i="2"/>
  <c r="M5" i="2"/>
  <c r="M7" i="2"/>
  <c r="M8" i="2"/>
  <c r="M9" i="2"/>
  <c r="M10" i="2"/>
  <c r="M11" i="2"/>
  <c r="M12" i="2"/>
  <c r="M15" i="2"/>
  <c r="M16" i="2"/>
  <c r="M17" i="2"/>
  <c r="M18" i="2"/>
  <c r="M19" i="2"/>
  <c r="M20" i="2"/>
  <c r="M21" i="2"/>
  <c r="M22" i="2"/>
  <c r="M23" i="2"/>
  <c r="M25" i="2"/>
  <c r="M26" i="2"/>
  <c r="M27" i="2"/>
  <c r="M28" i="2"/>
  <c r="M29" i="2"/>
  <c r="M30" i="2"/>
  <c r="M31" i="2"/>
  <c r="M32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2" i="2"/>
  <c r="J3" i="2"/>
  <c r="P3" i="2" s="1"/>
  <c r="J4" i="2"/>
  <c r="J5" i="2"/>
  <c r="J6" i="2"/>
  <c r="J7" i="2"/>
  <c r="J8" i="2"/>
  <c r="J9" i="2"/>
  <c r="J10" i="2"/>
  <c r="J11" i="2"/>
  <c r="J12" i="2"/>
  <c r="P12" i="2" s="1"/>
  <c r="J13" i="2"/>
  <c r="J14" i="2"/>
  <c r="J15" i="2"/>
  <c r="J16" i="2"/>
  <c r="J17" i="2"/>
  <c r="J18" i="2"/>
  <c r="J19" i="2"/>
  <c r="J20" i="2"/>
  <c r="P20" i="2" s="1"/>
  <c r="J21" i="2"/>
  <c r="P21" i="2" s="1"/>
  <c r="J22" i="2"/>
  <c r="J23" i="2"/>
  <c r="J24" i="2"/>
  <c r="J25" i="2"/>
  <c r="J26" i="2"/>
  <c r="J27" i="2"/>
  <c r="J28" i="2"/>
  <c r="P28" i="2" s="1"/>
  <c r="J29" i="2"/>
  <c r="P29" i="2" s="1"/>
  <c r="J30" i="2"/>
  <c r="J32" i="2"/>
  <c r="J33" i="2"/>
  <c r="J34" i="2"/>
  <c r="J35" i="2"/>
  <c r="P35" i="2" s="1"/>
  <c r="J2" i="2"/>
  <c r="I10" i="2"/>
  <c r="I11" i="2"/>
  <c r="I12" i="2"/>
  <c r="I13" i="2"/>
  <c r="I14" i="2"/>
  <c r="I15" i="2"/>
  <c r="P15" i="2" s="1"/>
  <c r="I16" i="2"/>
  <c r="P16" i="2" s="1"/>
  <c r="I17" i="2"/>
  <c r="I18" i="2"/>
  <c r="I19" i="2"/>
  <c r="I20" i="2"/>
  <c r="I21" i="2"/>
  <c r="I22" i="2"/>
  <c r="I23" i="2"/>
  <c r="I24" i="2"/>
  <c r="P24" i="2" s="1"/>
  <c r="I25" i="2"/>
  <c r="I26" i="2"/>
  <c r="I27" i="2"/>
  <c r="I28" i="2"/>
  <c r="I29" i="2"/>
  <c r="I30" i="2"/>
  <c r="I31" i="2"/>
  <c r="I32" i="2"/>
  <c r="P32" i="2" s="1"/>
  <c r="I33" i="2"/>
  <c r="P33" i="2" s="1"/>
  <c r="I34" i="2"/>
  <c r="I35" i="2"/>
  <c r="I3" i="2"/>
  <c r="I4" i="2"/>
  <c r="I5" i="2"/>
  <c r="I6" i="2"/>
  <c r="I7" i="2"/>
  <c r="P7" i="2" s="1"/>
  <c r="I8" i="2"/>
  <c r="P8" i="2" s="1"/>
  <c r="I9" i="2"/>
  <c r="I2" i="2"/>
  <c r="P19" i="2" l="1"/>
  <c r="P27" i="2"/>
  <c r="P2" i="2"/>
  <c r="P11" i="2"/>
  <c r="P23" i="2"/>
  <c r="P34" i="2"/>
  <c r="P4" i="2"/>
  <c r="P13" i="2"/>
  <c r="P9" i="2"/>
  <c r="P18" i="2"/>
  <c r="P26" i="2"/>
  <c r="P10" i="2"/>
  <c r="P17" i="2"/>
  <c r="P30" i="2"/>
  <c r="P22" i="2"/>
  <c r="P14" i="2"/>
  <c r="P6" i="2"/>
  <c r="P25" i="2"/>
  <c r="P5" i="2"/>
</calcChain>
</file>

<file path=xl/sharedStrings.xml><?xml version="1.0" encoding="utf-8"?>
<sst xmlns="http://schemas.openxmlformats.org/spreadsheetml/2006/main" count="160" uniqueCount="121">
  <si>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</si>
  <si>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</si>
  <si>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</si>
  <si>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</si>
  <si>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</si>
  <si>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</si>
  <si>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</si>
  <si>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</si>
  <si>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</si>
  <si>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</si>
  <si>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</si>
  <si>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</si>
  <si>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</si>
  <si>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</si>
  <si>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</si>
  <si>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</si>
  <si>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</si>
  <si>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</si>
  <si>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</si>
  <si>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</si>
  <si>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</si>
  <si>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</si>
  <si>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</si>
  <si>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</si>
  <si>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</si>
  <si>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</si>
  <si>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</si>
  <si>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</si>
  <si>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</si>
  <si>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</si>
  <si>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</si>
  <si>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</si>
  <si>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</si>
  <si>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</si>
  <si>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</si>
  <si>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</si>
  <si>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</si>
  <si>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</si>
  <si>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</si>
  <si>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</si>
  <si>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</si>
  <si>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</si>
  <si>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</si>
  <si>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</si>
  <si>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</si>
  <si>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</si>
  <si>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</si>
  <si>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</si>
  <si>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</si>
  <si>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</si>
  <si>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</si>
  <si>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</si>
  <si>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</si>
  <si>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</si>
  <si>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</si>
  <si>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</si>
  <si>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</si>
  <si>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</si>
  <si>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</si>
  <si>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</si>
  <si>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</si>
  <si>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</si>
  <si>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</si>
  <si>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</si>
  <si>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</si>
  <si>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</si>
  <si>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</si>
  <si>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</si>
  <si>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</si>
  <si>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</si>
  <si>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</si>
  <si>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</si>
  <si>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</si>
  <si>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</si>
  <si>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</si>
  <si>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</si>
  <si>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</si>
  <si>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</si>
  <si>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</si>
  <si>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</si>
  <si>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</si>
  <si>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</si>
  <si>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</si>
  <si>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</si>
  <si>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</si>
  <si>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</si>
  <si>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</si>
  <si>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</si>
  <si>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</si>
  <si>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</si>
  <si>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</si>
  <si>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</si>
  <si>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</si>
  <si>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</si>
  <si>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</si>
  <si>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</si>
  <si>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</si>
  <si>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</si>
  <si>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</si>
  <si>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</si>
  <si>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</si>
  <si>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</si>
  <si>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</si>
  <si>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</si>
  <si>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</si>
  <si>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</si>
  <si>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</si>
  <si>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</si>
  <si>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</si>
  <si>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</si>
  <si>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</si>
  <si>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</si>
  <si>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</si>
  <si>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</si>
  <si>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</t>
  </si>
  <si>
    <t>\]]\\</t>
  </si>
  <si>
    <t xml:space="preserve">Product Name </t>
  </si>
  <si>
    <t>Price($)</t>
  </si>
  <si>
    <t xml:space="preserve">Manufacturing Date </t>
  </si>
  <si>
    <t>Country Code</t>
  </si>
  <si>
    <t xml:space="preserve">Product Brand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</si>
</sst>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dd/mm/yyyy;@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164" fontId="7" fillId="2" borderId="0" xfId="0" applyNumberFormat="1" applyFont="1" applyFill="1" applyAlignment="1">
      <alignment horizontal="center"/>
    </xf>
    <xf numFmtId="164" fontId="0" fillId="0" borderId="0" xfId="0" applyNumberFormat="1"/>
    <xf numFmtId="165" fontId="7" fillId="2" borderId="0" xfId="0" applyNumberFormat="1" applyFont="1" applyFill="1" applyAlignment="1">
      <alignment horizontal="center"/>
    </xf>
    <xf numFmtId="165" fontId="8" fillId="0" borderId="0" xfId="0" applyNumberFormat="1" applyFont="1" applyAlignment="1">
      <alignment horizontal="left"/>
    </xf>
    <xf numFmtId="165" fontId="8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0"/>
  <sheetViews>
    <sheetView showGridLines="0" zoomScale="125" workbookViewId="0">
      <selection activeCell="D26" sqref="D26"/>
    </sheetView>
  </sheetViews>
  <sheetFormatPr baseColWidth="10" defaultColWidth="12.6640625" defaultRowHeight="15" customHeight="1" x14ac:dyDescent="0.15"/>
  <cols>
    <col min="1" max="1" width="12.6640625" customWidth="1"/>
    <col min="2" max="2" width="7.5" customWidth="1"/>
    <col min="3" max="6" width="12.6640625" customWidth="1"/>
  </cols>
  <sheetData>
    <row r="1" spans="1:14" ht="15.75" customHeight="1" x14ac:dyDescent="0.15">
      <c r="A1" s="1" t="s">
        <v>0</v>
      </c>
    </row>
    <row r="2" spans="1:14" ht="15.75" customHeight="1" x14ac:dyDescent="0.15"/>
    <row r="3" spans="1:14" ht="15.75" customHeight="1" x14ac:dyDescent="0.2">
      <c r="B3" s="2" t="s">
        <v>1</v>
      </c>
      <c r="N3" s="9" t="s">
        <v>114</v>
      </c>
    </row>
    <row r="4" spans="1:14" ht="15.75" customHeight="1" x14ac:dyDescent="0.2">
      <c r="C4" s="3" t="s">
        <v>2</v>
      </c>
    </row>
    <row r="5" spans="1:14" ht="15.75" customHeight="1" x14ac:dyDescent="0.2">
      <c r="B5" s="4"/>
      <c r="C5" s="3" t="s">
        <v>3</v>
      </c>
      <c r="K5" s="9" t="s">
        <v>114</v>
      </c>
    </row>
    <row r="6" spans="1:14" ht="15.75" customHeight="1" x14ac:dyDescent="0.2">
      <c r="B6" s="4"/>
      <c r="E6" s="9" t="s">
        <v>114</v>
      </c>
    </row>
    <row r="7" spans="1:14" ht="15.75" customHeight="1" x14ac:dyDescent="0.2">
      <c r="B7" s="2" t="s">
        <v>4</v>
      </c>
    </row>
    <row r="8" spans="1:14" ht="15.75" customHeight="1" x14ac:dyDescent="0.2">
      <c r="C8" s="3" t="s">
        <v>5</v>
      </c>
    </row>
    <row r="9" spans="1:14" ht="15.75" customHeight="1" x14ac:dyDescent="0.2">
      <c r="C9" s="3" t="s">
        <v>6</v>
      </c>
    </row>
    <row r="10" spans="1:14" ht="15.75" customHeight="1" x14ac:dyDescent="0.2">
      <c r="C10" s="3" t="s">
        <v>7</v>
      </c>
    </row>
    <row r="11" spans="1:14" ht="15.75" customHeight="1" x14ac:dyDescent="0.2">
      <c r="B11" s="4"/>
    </row>
    <row r="12" spans="1:14" ht="15.75" customHeight="1" x14ac:dyDescent="0.2">
      <c r="B12" s="2" t="s">
        <v>8</v>
      </c>
    </row>
    <row r="13" spans="1:14" ht="15.75" customHeight="1" x14ac:dyDescent="0.2">
      <c r="B13" s="2"/>
      <c r="C13" s="3" t="s">
        <v>9</v>
      </c>
    </row>
    <row r="14" spans="1:14" ht="15.75" customHeight="1" x14ac:dyDescent="0.15"/>
    <row r="15" spans="1:14" ht="15.75" customHeight="1" x14ac:dyDescent="0.2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4" ht="15.75" customHeight="1" x14ac:dyDescent="0.2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1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1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1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15"/>
    <row r="29" spans="2:11" ht="15.75" customHeight="1" x14ac:dyDescent="0.15"/>
    <row r="30" spans="2:11" ht="15.75" customHeight="1" x14ac:dyDescent="0.15"/>
    <row r="31" spans="2:11" ht="15.75" customHeight="1" x14ac:dyDescent="0.15"/>
    <row r="32" spans="2:1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N35" sqref="N35"/>
    </sheetView>
  </sheetViews>
  <sheetFormatPr baseColWidth="10" defaultColWidth="12.6640625" defaultRowHeight="15" customHeight="1" x14ac:dyDescent="0.15"/>
  <cols>
    <col min="1" max="6" width="12.6640625" customWidth="1"/>
    <col min="11" max="11" width="12.6640625" style="11"/>
    <col min="14" max="14" width="17.5" style="14" bestFit="1" customWidth="1"/>
    <col min="16" max="16" width="20.33203125" bestFit="1" customWidth="1"/>
  </cols>
  <sheetData>
    <row r="1" spans="1:16" ht="15.75" customHeight="1" x14ac:dyDescent="0.15">
      <c r="A1" s="7" t="s">
        <v>115</v>
      </c>
      <c r="B1" s="7" t="s">
        <v>19</v>
      </c>
      <c r="C1" s="7" t="s">
        <v>20</v>
      </c>
      <c r="D1" s="7" t="s">
        <v>21</v>
      </c>
      <c r="E1" s="7" t="s">
        <v>22</v>
      </c>
      <c r="F1" s="7" t="s">
        <v>23</v>
      </c>
      <c r="I1" s="7" t="s">
        <v>116</v>
      </c>
      <c r="J1" s="7" t="s">
        <v>20</v>
      </c>
      <c r="K1" s="10" t="s">
        <v>117</v>
      </c>
      <c r="L1" s="7" t="s">
        <v>22</v>
      </c>
      <c r="M1" s="7" t="s">
        <v>23</v>
      </c>
      <c r="N1" s="12" t="s">
        <v>118</v>
      </c>
      <c r="O1" s="7" t="s">
        <v>119</v>
      </c>
      <c r="P1" s="7" t="s">
        <v>120</v>
      </c>
    </row>
    <row r="2" spans="1:16" ht="15.75" customHeight="1" x14ac:dyDescent="0.15">
      <c r="A2" s="5" t="s">
        <v>24</v>
      </c>
      <c r="B2" s="5" t="s">
        <v>25</v>
      </c>
      <c r="C2" s="5" t="s">
        <v>26</v>
      </c>
      <c r="D2" s="5">
        <v>1000</v>
      </c>
      <c r="E2" s="5">
        <v>30</v>
      </c>
      <c r="F2" s="5" t="s">
        <v>27</v>
      </c>
      <c r="I2" t="str">
        <f>PROPER(B2)</f>
        <v>Laptop</v>
      </c>
      <c r="J2" t="str">
        <f>PROPER(C2)</f>
        <v>Dell</v>
      </c>
      <c r="K2" s="11">
        <f>D2</f>
        <v>1000</v>
      </c>
      <c r="L2">
        <f>E2</f>
        <v>30</v>
      </c>
      <c r="M2" t="str">
        <f>F2</f>
        <v>Electronics</v>
      </c>
      <c r="N2" s="13">
        <f>DATEVALUE(LEFT(A2,6))</f>
        <v>46050</v>
      </c>
      <c r="O2" t="str">
        <f>RIGHT(A2,2)</f>
        <v>US</v>
      </c>
      <c r="P2" t="str">
        <f>_xlfn.CONCAT(J2," ",I2)</f>
        <v>Dell Laptop</v>
      </c>
    </row>
    <row r="3" spans="1:16" ht="15.75" customHeight="1" x14ac:dyDescent="0.15">
      <c r="A3" s="8" t="s">
        <v>28</v>
      </c>
      <c r="B3" s="8" t="s">
        <v>29</v>
      </c>
      <c r="C3" s="8" t="s">
        <v>30</v>
      </c>
      <c r="D3" s="8">
        <v>80</v>
      </c>
      <c r="E3" s="8">
        <v>15</v>
      </c>
      <c r="F3" s="8" t="s">
        <v>31</v>
      </c>
      <c r="I3" t="str">
        <f t="shared" ref="I3:I35" si="0">PROPER(B3)</f>
        <v>Sneakers</v>
      </c>
      <c r="J3" t="str">
        <f t="shared" ref="J3:J35" si="1">PROPER(C3)</f>
        <v>Nike</v>
      </c>
      <c r="K3" s="11">
        <f t="shared" ref="K3:K32" si="2">D3</f>
        <v>80</v>
      </c>
      <c r="L3">
        <f t="shared" ref="L3:L32" si="3">E3</f>
        <v>15</v>
      </c>
      <c r="M3" t="str">
        <f t="shared" ref="M3:M32" si="4">F3</f>
        <v>Fashion</v>
      </c>
      <c r="N3" s="13">
        <f t="shared" ref="N3:N32" si="5">DATEVALUE(LEFT(A3,6))</f>
        <v>46068</v>
      </c>
      <c r="O3" t="str">
        <f t="shared" ref="O3:O35" si="6">RIGHT(A3,2)</f>
        <v>US</v>
      </c>
      <c r="P3" t="str">
        <f t="shared" ref="P3:P35" si="7">_xlfn.CONCAT(J3," ",I3)</f>
        <v>Nike Sneakers</v>
      </c>
    </row>
    <row r="4" spans="1:16" ht="15.75" customHeight="1" x14ac:dyDescent="0.15">
      <c r="A4" s="5" t="s">
        <v>32</v>
      </c>
      <c r="B4" s="5" t="s">
        <v>33</v>
      </c>
      <c r="C4" s="5" t="s">
        <v>34</v>
      </c>
      <c r="D4" s="5">
        <v>130</v>
      </c>
      <c r="E4" s="5">
        <v>40</v>
      </c>
      <c r="F4" s="5" t="s">
        <v>35</v>
      </c>
      <c r="I4" t="str">
        <f t="shared" si="0"/>
        <v>Coffee Maker</v>
      </c>
      <c r="J4" t="str">
        <f t="shared" si="1"/>
        <v>Keurig</v>
      </c>
      <c r="K4" s="11">
        <f t="shared" si="2"/>
        <v>130</v>
      </c>
      <c r="L4">
        <f t="shared" si="3"/>
        <v>40</v>
      </c>
      <c r="M4" t="str">
        <f t="shared" si="4"/>
        <v>Kitchen</v>
      </c>
      <c r="N4" s="13">
        <f t="shared" si="5"/>
        <v>46084</v>
      </c>
      <c r="O4" t="str">
        <f t="shared" si="6"/>
        <v>US</v>
      </c>
      <c r="P4" t="str">
        <f t="shared" si="7"/>
        <v>Keurig Coffee Maker</v>
      </c>
    </row>
    <row r="5" spans="1:16" ht="15.75" customHeight="1" x14ac:dyDescent="0.15">
      <c r="A5" s="8" t="s">
        <v>36</v>
      </c>
      <c r="B5" s="8" t="s">
        <v>37</v>
      </c>
      <c r="C5" s="8" t="s">
        <v>38</v>
      </c>
      <c r="D5" s="8">
        <v>900</v>
      </c>
      <c r="E5" s="8">
        <v>25</v>
      </c>
      <c r="F5" s="8" t="s">
        <v>27</v>
      </c>
      <c r="I5" t="str">
        <f t="shared" si="0"/>
        <v>Smartphone</v>
      </c>
      <c r="J5" t="str">
        <f t="shared" si="1"/>
        <v>Samsung</v>
      </c>
      <c r="K5" s="11">
        <f t="shared" si="2"/>
        <v>900</v>
      </c>
      <c r="L5">
        <f t="shared" si="3"/>
        <v>25</v>
      </c>
      <c r="M5" t="str">
        <f t="shared" si="4"/>
        <v>Electronics</v>
      </c>
      <c r="N5" s="13">
        <f t="shared" si="5"/>
        <v>46123</v>
      </c>
      <c r="O5" t="str">
        <f t="shared" si="6"/>
        <v>US</v>
      </c>
      <c r="P5" t="str">
        <f t="shared" si="7"/>
        <v>Samsung Smartphone</v>
      </c>
    </row>
    <row r="6" spans="1:16" ht="15.75" customHeight="1" x14ac:dyDescent="0.15">
      <c r="A6" s="5" t="s">
        <v>39</v>
      </c>
      <c r="B6" s="5" t="s">
        <v>40</v>
      </c>
      <c r="C6" s="5" t="s">
        <v>41</v>
      </c>
      <c r="D6" s="5">
        <v>70</v>
      </c>
      <c r="E6" s="5">
        <v>20</v>
      </c>
      <c r="F6" s="5"/>
      <c r="I6" t="str">
        <f t="shared" si="0"/>
        <v>Backpack</v>
      </c>
      <c r="J6" t="str">
        <f t="shared" si="1"/>
        <v>North Face</v>
      </c>
      <c r="K6" s="11">
        <f t="shared" si="2"/>
        <v>70</v>
      </c>
      <c r="L6">
        <f t="shared" si="3"/>
        <v>20</v>
      </c>
      <c r="M6" s="9" t="s">
        <v>73</v>
      </c>
      <c r="N6" s="13">
        <f t="shared" si="5"/>
        <v>46164</v>
      </c>
      <c r="O6" t="str">
        <f t="shared" si="6"/>
        <v>US</v>
      </c>
      <c r="P6" t="str">
        <f t="shared" si="7"/>
        <v>North Face Backpack</v>
      </c>
    </row>
    <row r="7" spans="1:16" ht="15.75" customHeight="1" x14ac:dyDescent="0.15">
      <c r="A7" s="8" t="s">
        <v>42</v>
      </c>
      <c r="B7" s="8" t="s">
        <v>43</v>
      </c>
      <c r="C7" s="8" t="s">
        <v>44</v>
      </c>
      <c r="D7" s="8"/>
      <c r="E7" s="8">
        <v>45</v>
      </c>
      <c r="F7" s="8" t="s">
        <v>27</v>
      </c>
      <c r="I7" t="str">
        <f t="shared" si="0"/>
        <v>Headphones</v>
      </c>
      <c r="J7" t="str">
        <f t="shared" si="1"/>
        <v>Sony</v>
      </c>
      <c r="K7" s="11">
        <v>0</v>
      </c>
      <c r="L7">
        <f t="shared" si="3"/>
        <v>45</v>
      </c>
      <c r="M7" t="str">
        <f t="shared" si="4"/>
        <v>Electronics</v>
      </c>
      <c r="N7" s="13">
        <f t="shared" si="5"/>
        <v>46180</v>
      </c>
      <c r="O7" t="str">
        <f t="shared" si="6"/>
        <v>UK</v>
      </c>
      <c r="P7" t="str">
        <f t="shared" si="7"/>
        <v>Sony Headphones</v>
      </c>
    </row>
    <row r="8" spans="1:16" ht="15.75" customHeight="1" x14ac:dyDescent="0.15">
      <c r="A8" s="5" t="s">
        <v>45</v>
      </c>
      <c r="B8" s="5" t="s">
        <v>46</v>
      </c>
      <c r="C8" s="5" t="s">
        <v>47</v>
      </c>
      <c r="D8" s="5">
        <v>30</v>
      </c>
      <c r="E8" s="5">
        <v>5</v>
      </c>
      <c r="F8" s="5" t="s">
        <v>31</v>
      </c>
      <c r="I8" t="str">
        <f t="shared" si="0"/>
        <v>T-Shirt</v>
      </c>
      <c r="J8" t="str">
        <f t="shared" si="1"/>
        <v>Adidas</v>
      </c>
      <c r="K8" s="11">
        <f t="shared" si="2"/>
        <v>30</v>
      </c>
      <c r="L8">
        <f t="shared" si="3"/>
        <v>5</v>
      </c>
      <c r="M8" t="str">
        <f t="shared" si="4"/>
        <v>Fashion</v>
      </c>
      <c r="N8" s="13">
        <f t="shared" si="5"/>
        <v>46222</v>
      </c>
      <c r="O8" t="str">
        <f t="shared" si="6"/>
        <v>UK</v>
      </c>
      <c r="P8" t="str">
        <f t="shared" si="7"/>
        <v>Adidas T-Shirt</v>
      </c>
    </row>
    <row r="9" spans="1:16" ht="15.75" customHeight="1" x14ac:dyDescent="0.1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35</v>
      </c>
      <c r="I9" t="str">
        <f t="shared" si="0"/>
        <v>Blender</v>
      </c>
      <c r="J9" t="str">
        <f t="shared" si="1"/>
        <v>Ninja</v>
      </c>
      <c r="K9" s="11">
        <f t="shared" si="2"/>
        <v>90</v>
      </c>
      <c r="L9">
        <f t="shared" si="3"/>
        <v>35</v>
      </c>
      <c r="M9" t="str">
        <f t="shared" si="4"/>
        <v>Kitchen</v>
      </c>
      <c r="N9" s="13">
        <f t="shared" si="5"/>
        <v>46257</v>
      </c>
      <c r="O9" t="str">
        <f t="shared" si="6"/>
        <v>UK</v>
      </c>
      <c r="P9" t="str">
        <f t="shared" si="7"/>
        <v>Ninja Blender</v>
      </c>
    </row>
    <row r="10" spans="1:16" ht="15.75" customHeight="1" x14ac:dyDescent="0.15">
      <c r="A10" s="5" t="s">
        <v>51</v>
      </c>
      <c r="B10" s="5" t="s">
        <v>52</v>
      </c>
      <c r="C10" s="5" t="s">
        <v>53</v>
      </c>
      <c r="D10" s="5">
        <v>500</v>
      </c>
      <c r="E10" s="5">
        <v>50</v>
      </c>
      <c r="F10" s="5" t="s">
        <v>27</v>
      </c>
      <c r="I10" t="str">
        <f t="shared" si="0"/>
        <v>Tablet</v>
      </c>
      <c r="J10" t="str">
        <f t="shared" si="1"/>
        <v>Apple</v>
      </c>
      <c r="K10" s="11">
        <f t="shared" si="2"/>
        <v>500</v>
      </c>
      <c r="L10">
        <f t="shared" si="3"/>
        <v>50</v>
      </c>
      <c r="M10" t="str">
        <f t="shared" si="4"/>
        <v>Electronics</v>
      </c>
      <c r="N10" s="13">
        <f t="shared" si="5"/>
        <v>46270</v>
      </c>
      <c r="O10" t="str">
        <f t="shared" si="6"/>
        <v>UK</v>
      </c>
      <c r="P10" t="str">
        <f t="shared" si="7"/>
        <v>Apple Tablet</v>
      </c>
    </row>
    <row r="11" spans="1:16" ht="15.75" customHeight="1" x14ac:dyDescent="0.1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57</v>
      </c>
      <c r="I11" t="str">
        <f t="shared" si="0"/>
        <v>Hiking Boots</v>
      </c>
      <c r="J11" t="str">
        <f t="shared" si="1"/>
        <v>Timberland</v>
      </c>
      <c r="K11" s="11">
        <f t="shared" si="2"/>
        <v>130</v>
      </c>
      <c r="L11">
        <f t="shared" si="3"/>
        <v>10</v>
      </c>
      <c r="M11" t="str">
        <f t="shared" si="4"/>
        <v>Outdoor</v>
      </c>
      <c r="N11" s="13">
        <f t="shared" si="5"/>
        <v>46309</v>
      </c>
      <c r="O11" t="str">
        <f t="shared" si="6"/>
        <v>UK</v>
      </c>
      <c r="P11" t="str">
        <f t="shared" si="7"/>
        <v>Timberland Hiking Boots</v>
      </c>
    </row>
    <row r="12" spans="1:16" ht="15.75" customHeight="1" x14ac:dyDescent="0.15">
      <c r="A12" s="5" t="s">
        <v>58</v>
      </c>
      <c r="B12" s="5" t="s">
        <v>59</v>
      </c>
      <c r="C12" s="5" t="s">
        <v>60</v>
      </c>
      <c r="D12" s="5">
        <v>950</v>
      </c>
      <c r="E12" s="5">
        <v>25</v>
      </c>
      <c r="F12" s="5" t="s">
        <v>27</v>
      </c>
      <c r="I12" t="str">
        <f t="shared" si="0"/>
        <v>Laptop</v>
      </c>
      <c r="J12" t="str">
        <f t="shared" si="1"/>
        <v>Hp</v>
      </c>
      <c r="K12" s="11">
        <f t="shared" si="2"/>
        <v>950</v>
      </c>
      <c r="L12">
        <f t="shared" si="3"/>
        <v>25</v>
      </c>
      <c r="M12" t="str">
        <f t="shared" si="4"/>
        <v>Electronics</v>
      </c>
      <c r="N12" s="13">
        <f t="shared" si="5"/>
        <v>46190</v>
      </c>
      <c r="O12" t="str">
        <f t="shared" si="6"/>
        <v>IN</v>
      </c>
      <c r="P12" t="str">
        <f t="shared" si="7"/>
        <v>Hp Laptop</v>
      </c>
    </row>
    <row r="13" spans="1:16" ht="15.75" customHeight="1" x14ac:dyDescent="0.15">
      <c r="A13" s="8" t="s">
        <v>61</v>
      </c>
      <c r="B13" s="8" t="s">
        <v>29</v>
      </c>
      <c r="C13" s="8" t="s">
        <v>47</v>
      </c>
      <c r="D13" s="8">
        <v>90</v>
      </c>
      <c r="E13" s="8">
        <v>40</v>
      </c>
      <c r="F13" s="8"/>
      <c r="I13" t="str">
        <f t="shared" si="0"/>
        <v>Sneakers</v>
      </c>
      <c r="J13" t="str">
        <f t="shared" si="1"/>
        <v>Adidas</v>
      </c>
      <c r="K13" s="11">
        <f t="shared" si="2"/>
        <v>90</v>
      </c>
      <c r="L13">
        <f t="shared" si="3"/>
        <v>40</v>
      </c>
      <c r="M13" s="9" t="s">
        <v>31</v>
      </c>
      <c r="N13" s="13">
        <f t="shared" si="5"/>
        <v>46351</v>
      </c>
      <c r="O13" t="str">
        <f t="shared" si="6"/>
        <v>AU</v>
      </c>
      <c r="P13" t="str">
        <f t="shared" si="7"/>
        <v>Adidas Sneakers</v>
      </c>
    </row>
    <row r="14" spans="1:16" ht="15.75" customHeight="1" x14ac:dyDescent="0.15">
      <c r="A14" s="5" t="s">
        <v>62</v>
      </c>
      <c r="B14" s="5" t="s">
        <v>33</v>
      </c>
      <c r="C14" s="5" t="s">
        <v>63</v>
      </c>
      <c r="D14" s="5">
        <v>120</v>
      </c>
      <c r="E14" s="5">
        <v>35</v>
      </c>
      <c r="F14" s="5"/>
      <c r="I14" t="str">
        <f t="shared" si="0"/>
        <v>Coffee Maker</v>
      </c>
      <c r="J14" t="str">
        <f t="shared" si="1"/>
        <v>Nespresso</v>
      </c>
      <c r="K14" s="11">
        <f t="shared" si="2"/>
        <v>120</v>
      </c>
      <c r="L14">
        <f t="shared" si="3"/>
        <v>35</v>
      </c>
      <c r="M14" s="9" t="s">
        <v>35</v>
      </c>
      <c r="N14" s="13">
        <f t="shared" si="5"/>
        <v>46364</v>
      </c>
      <c r="O14" t="str">
        <f t="shared" si="6"/>
        <v>DE</v>
      </c>
      <c r="P14" t="str">
        <f t="shared" si="7"/>
        <v>Nespresso Coffee Maker</v>
      </c>
    </row>
    <row r="15" spans="1:16" ht="15.75" customHeight="1" x14ac:dyDescent="0.15">
      <c r="A15" s="8" t="s">
        <v>64</v>
      </c>
      <c r="B15" s="8" t="s">
        <v>65</v>
      </c>
      <c r="C15" s="8" t="s">
        <v>66</v>
      </c>
      <c r="D15" s="8">
        <v>150</v>
      </c>
      <c r="E15" s="8">
        <v>15</v>
      </c>
      <c r="F15" s="8" t="s">
        <v>27</v>
      </c>
      <c r="I15" t="str">
        <f t="shared" si="0"/>
        <v>Smartwatch</v>
      </c>
      <c r="J15" t="str">
        <f t="shared" si="1"/>
        <v>Fitbit</v>
      </c>
      <c r="K15" s="11">
        <f t="shared" si="2"/>
        <v>150</v>
      </c>
      <c r="L15">
        <f t="shared" si="3"/>
        <v>15</v>
      </c>
      <c r="M15" t="str">
        <f t="shared" si="4"/>
        <v>Electronics</v>
      </c>
      <c r="N15" s="13">
        <f t="shared" si="5"/>
        <v>46071</v>
      </c>
      <c r="O15" t="str">
        <f t="shared" si="6"/>
        <v>CA</v>
      </c>
      <c r="P15" t="str">
        <f t="shared" si="7"/>
        <v>Fitbit Smartwatch</v>
      </c>
    </row>
    <row r="16" spans="1:16" ht="15.75" customHeight="1" x14ac:dyDescent="0.15">
      <c r="A16" s="5" t="s">
        <v>67</v>
      </c>
      <c r="B16" s="5" t="s">
        <v>68</v>
      </c>
      <c r="C16" s="5" t="s">
        <v>69</v>
      </c>
      <c r="D16" s="5">
        <v>250</v>
      </c>
      <c r="E16" s="5">
        <v>20</v>
      </c>
      <c r="F16" s="5" t="s">
        <v>27</v>
      </c>
      <c r="I16" t="str">
        <f t="shared" si="0"/>
        <v>Headphones</v>
      </c>
      <c r="J16" t="str">
        <f t="shared" si="1"/>
        <v>Bose</v>
      </c>
      <c r="K16" s="11">
        <f t="shared" si="2"/>
        <v>250</v>
      </c>
      <c r="L16">
        <f t="shared" si="3"/>
        <v>20</v>
      </c>
      <c r="M16" t="str">
        <f t="shared" si="4"/>
        <v>Electronics</v>
      </c>
      <c r="N16" s="13">
        <f t="shared" si="5"/>
        <v>46128</v>
      </c>
      <c r="O16" t="str">
        <f t="shared" si="6"/>
        <v>ES</v>
      </c>
      <c r="P16" t="str">
        <f t="shared" si="7"/>
        <v>Bose Headphones</v>
      </c>
    </row>
    <row r="17" spans="1:16" ht="15.75" customHeight="1" x14ac:dyDescent="0.15">
      <c r="A17" s="8" t="s">
        <v>70</v>
      </c>
      <c r="B17" s="8" t="s">
        <v>71</v>
      </c>
      <c r="C17" s="8" t="s">
        <v>72</v>
      </c>
      <c r="D17" s="8">
        <v>50</v>
      </c>
      <c r="E17" s="8">
        <v>35</v>
      </c>
      <c r="F17" s="8" t="s">
        <v>73</v>
      </c>
      <c r="I17" t="str">
        <f t="shared" si="0"/>
        <v>Laptop Bag</v>
      </c>
      <c r="J17" t="str">
        <f t="shared" si="1"/>
        <v>Samsonite</v>
      </c>
      <c r="K17" s="11">
        <f t="shared" si="2"/>
        <v>50</v>
      </c>
      <c r="L17">
        <f t="shared" si="3"/>
        <v>35</v>
      </c>
      <c r="M17" t="str">
        <f t="shared" si="4"/>
        <v>Accessories</v>
      </c>
      <c r="N17" s="13">
        <f t="shared" si="5"/>
        <v>46255</v>
      </c>
      <c r="O17" t="str">
        <f t="shared" si="6"/>
        <v>CA</v>
      </c>
      <c r="P17" t="str">
        <f t="shared" si="7"/>
        <v>Samsonite Laptop Bag</v>
      </c>
    </row>
    <row r="18" spans="1:16" ht="15.75" customHeight="1" x14ac:dyDescent="0.15">
      <c r="A18" s="5" t="s">
        <v>74</v>
      </c>
      <c r="B18" s="5" t="s">
        <v>65</v>
      </c>
      <c r="C18" s="5" t="s">
        <v>75</v>
      </c>
      <c r="D18" s="5">
        <v>160</v>
      </c>
      <c r="E18" s="5">
        <v>15</v>
      </c>
      <c r="F18" s="5" t="s">
        <v>27</v>
      </c>
      <c r="I18" t="str">
        <f t="shared" si="0"/>
        <v>Smartwatch</v>
      </c>
      <c r="J18" t="str">
        <f t="shared" si="1"/>
        <v>Huawei</v>
      </c>
      <c r="K18" s="11">
        <f t="shared" si="2"/>
        <v>160</v>
      </c>
      <c r="L18">
        <f t="shared" si="3"/>
        <v>15</v>
      </c>
      <c r="M18" t="str">
        <f t="shared" si="4"/>
        <v>Electronics</v>
      </c>
      <c r="N18" s="13">
        <f t="shared" si="5"/>
        <v>46254</v>
      </c>
      <c r="O18" t="str">
        <f t="shared" si="6"/>
        <v>CN</v>
      </c>
      <c r="P18" t="str">
        <f t="shared" si="7"/>
        <v>Huawei Smartwatch</v>
      </c>
    </row>
    <row r="19" spans="1:16" ht="15.75" customHeight="1" x14ac:dyDescent="0.15">
      <c r="A19" s="8" t="s">
        <v>76</v>
      </c>
      <c r="B19" s="8" t="s">
        <v>25</v>
      </c>
      <c r="C19" s="8" t="s">
        <v>77</v>
      </c>
      <c r="D19" s="8">
        <v>980</v>
      </c>
      <c r="E19" s="8">
        <v>10</v>
      </c>
      <c r="F19" s="8" t="s">
        <v>27</v>
      </c>
      <c r="I19" t="str">
        <f t="shared" si="0"/>
        <v>Laptop</v>
      </c>
      <c r="J19" t="str">
        <f t="shared" si="1"/>
        <v>Asus</v>
      </c>
      <c r="K19" s="11">
        <f t="shared" si="2"/>
        <v>980</v>
      </c>
      <c r="L19">
        <f t="shared" si="3"/>
        <v>10</v>
      </c>
      <c r="M19" t="str">
        <f t="shared" si="4"/>
        <v>Electronics</v>
      </c>
      <c r="N19" s="13">
        <f t="shared" si="5"/>
        <v>46049</v>
      </c>
      <c r="O19" t="str">
        <f t="shared" si="6"/>
        <v>IT</v>
      </c>
      <c r="P19" t="str">
        <f t="shared" si="7"/>
        <v>Asus Laptop</v>
      </c>
    </row>
    <row r="20" spans="1:16" ht="15.75" customHeight="1" x14ac:dyDescent="0.15">
      <c r="A20" s="5" t="s">
        <v>78</v>
      </c>
      <c r="B20" s="5" t="s">
        <v>79</v>
      </c>
      <c r="C20" s="5" t="s">
        <v>80</v>
      </c>
      <c r="D20" s="5">
        <v>150</v>
      </c>
      <c r="E20" s="5">
        <v>15</v>
      </c>
      <c r="F20" s="5" t="s">
        <v>31</v>
      </c>
      <c r="I20" t="str">
        <f t="shared" si="0"/>
        <v>Sunglasses</v>
      </c>
      <c r="J20" t="str">
        <f t="shared" si="1"/>
        <v>Oakley</v>
      </c>
      <c r="K20" s="11">
        <f t="shared" si="2"/>
        <v>150</v>
      </c>
      <c r="L20">
        <f t="shared" si="3"/>
        <v>15</v>
      </c>
      <c r="M20" t="str">
        <f t="shared" si="4"/>
        <v>Fashion</v>
      </c>
      <c r="N20" s="13">
        <f t="shared" si="5"/>
        <v>46082</v>
      </c>
      <c r="O20" t="str">
        <f t="shared" si="6"/>
        <v>UK</v>
      </c>
      <c r="P20" t="str">
        <f t="shared" si="7"/>
        <v>Oakley Sunglasses</v>
      </c>
    </row>
    <row r="21" spans="1:16" ht="15.75" customHeight="1" x14ac:dyDescent="0.15">
      <c r="A21" s="8" t="s">
        <v>81</v>
      </c>
      <c r="B21" s="8" t="s">
        <v>82</v>
      </c>
      <c r="C21" s="8" t="s">
        <v>83</v>
      </c>
      <c r="D21" s="8"/>
      <c r="E21" s="8">
        <v>10</v>
      </c>
      <c r="F21" s="8" t="s">
        <v>57</v>
      </c>
      <c r="I21" t="str">
        <f t="shared" si="0"/>
        <v>Camping Tent</v>
      </c>
      <c r="J21" t="str">
        <f t="shared" si="1"/>
        <v>Coleman</v>
      </c>
      <c r="K21" s="11">
        <f t="shared" si="2"/>
        <v>0</v>
      </c>
      <c r="L21">
        <f t="shared" si="3"/>
        <v>10</v>
      </c>
      <c r="M21" t="str">
        <f t="shared" si="4"/>
        <v>Outdoor</v>
      </c>
      <c r="N21" s="13">
        <f t="shared" si="5"/>
        <v>46248</v>
      </c>
      <c r="O21" t="str">
        <f t="shared" si="6"/>
        <v>US</v>
      </c>
      <c r="P21" t="str">
        <f t="shared" si="7"/>
        <v>Coleman Camping Tent</v>
      </c>
    </row>
    <row r="22" spans="1:16" ht="15.75" customHeight="1" x14ac:dyDescent="0.15">
      <c r="A22" s="5" t="s">
        <v>84</v>
      </c>
      <c r="B22" s="5" t="s">
        <v>85</v>
      </c>
      <c r="C22" s="5" t="s">
        <v>86</v>
      </c>
      <c r="D22" s="5">
        <v>700</v>
      </c>
      <c r="E22" s="5">
        <v>50</v>
      </c>
      <c r="F22" s="5" t="s">
        <v>27</v>
      </c>
      <c r="I22" t="str">
        <f t="shared" si="0"/>
        <v>Camera</v>
      </c>
      <c r="J22" t="str">
        <f t="shared" si="1"/>
        <v>Nikon</v>
      </c>
      <c r="K22" s="11">
        <f t="shared" si="2"/>
        <v>700</v>
      </c>
      <c r="L22">
        <f t="shared" si="3"/>
        <v>50</v>
      </c>
      <c r="M22" t="str">
        <f t="shared" si="4"/>
        <v>Electronics</v>
      </c>
      <c r="N22" s="13">
        <f t="shared" si="5"/>
        <v>46156</v>
      </c>
      <c r="O22" t="str">
        <f t="shared" si="6"/>
        <v>RU</v>
      </c>
      <c r="P22" t="str">
        <f t="shared" si="7"/>
        <v>Nikon Camera</v>
      </c>
    </row>
    <row r="23" spans="1:16" ht="15.75" customHeight="1" x14ac:dyDescent="0.15">
      <c r="A23" s="8" t="s">
        <v>87</v>
      </c>
      <c r="B23" s="8" t="s">
        <v>88</v>
      </c>
      <c r="C23" s="8" t="s">
        <v>89</v>
      </c>
      <c r="D23" s="8">
        <v>80</v>
      </c>
      <c r="E23" s="8">
        <v>20</v>
      </c>
      <c r="F23" s="8" t="s">
        <v>35</v>
      </c>
      <c r="I23" t="str">
        <f t="shared" si="0"/>
        <v>Microwave</v>
      </c>
      <c r="J23" t="str">
        <f t="shared" si="1"/>
        <v>Panasonic</v>
      </c>
      <c r="K23" s="11">
        <f t="shared" si="2"/>
        <v>80</v>
      </c>
      <c r="L23">
        <f t="shared" si="3"/>
        <v>20</v>
      </c>
      <c r="M23" t="str">
        <f t="shared" si="4"/>
        <v>Kitchen</v>
      </c>
      <c r="N23" s="13">
        <f t="shared" si="5"/>
        <v>46031</v>
      </c>
      <c r="O23" t="str">
        <f t="shared" si="6"/>
        <v>CA</v>
      </c>
      <c r="P23" t="str">
        <f t="shared" si="7"/>
        <v>Panasonic Microwave</v>
      </c>
    </row>
    <row r="24" spans="1:16" ht="15.75" customHeight="1" x14ac:dyDescent="0.15">
      <c r="A24" s="5" t="s">
        <v>90</v>
      </c>
      <c r="B24" s="5" t="s">
        <v>91</v>
      </c>
      <c r="C24" s="5" t="s">
        <v>92</v>
      </c>
      <c r="D24" s="5">
        <v>150</v>
      </c>
      <c r="E24" s="5">
        <v>30</v>
      </c>
      <c r="F24" s="5"/>
      <c r="I24" t="str">
        <f t="shared" si="0"/>
        <v>Fitness Tracker</v>
      </c>
      <c r="J24" t="str">
        <f t="shared" si="1"/>
        <v>Xiaomi</v>
      </c>
      <c r="K24" s="11">
        <f t="shared" si="2"/>
        <v>150</v>
      </c>
      <c r="L24">
        <f t="shared" si="3"/>
        <v>30</v>
      </c>
      <c r="M24" s="9" t="s">
        <v>27</v>
      </c>
      <c r="N24" s="13">
        <f t="shared" si="5"/>
        <v>46222</v>
      </c>
      <c r="O24" t="str">
        <f t="shared" si="6"/>
        <v>BR</v>
      </c>
      <c r="P24" t="str">
        <f t="shared" si="7"/>
        <v>Xiaomi Fitness Tracker</v>
      </c>
    </row>
    <row r="25" spans="1:16" ht="15.75" customHeight="1" x14ac:dyDescent="0.15">
      <c r="A25" s="5" t="s">
        <v>93</v>
      </c>
      <c r="B25" s="5" t="s">
        <v>94</v>
      </c>
      <c r="C25" s="5" t="s">
        <v>95</v>
      </c>
      <c r="D25" s="5">
        <v>800</v>
      </c>
      <c r="E25" s="5">
        <v>45</v>
      </c>
      <c r="F25" s="5" t="s">
        <v>27</v>
      </c>
      <c r="I25" t="str">
        <f t="shared" si="0"/>
        <v>Smartphone</v>
      </c>
      <c r="J25" t="str">
        <f t="shared" si="1"/>
        <v>Google</v>
      </c>
      <c r="K25" s="11">
        <f t="shared" si="2"/>
        <v>800</v>
      </c>
      <c r="L25">
        <f t="shared" si="3"/>
        <v>45</v>
      </c>
      <c r="M25" t="str">
        <f t="shared" si="4"/>
        <v>Electronics</v>
      </c>
      <c r="N25" s="13">
        <f t="shared" si="5"/>
        <v>46294</v>
      </c>
      <c r="O25" t="str">
        <f t="shared" si="6"/>
        <v>CA</v>
      </c>
      <c r="P25" t="str">
        <f t="shared" si="7"/>
        <v>Google Smartphone</v>
      </c>
    </row>
    <row r="26" spans="1:16" ht="15.75" customHeight="1" x14ac:dyDescent="0.15">
      <c r="A26" s="8" t="s">
        <v>96</v>
      </c>
      <c r="B26" s="8" t="s">
        <v>79</v>
      </c>
      <c r="C26" s="8" t="s">
        <v>97</v>
      </c>
      <c r="D26" s="8"/>
      <c r="E26" s="8">
        <v>25</v>
      </c>
      <c r="F26" s="8" t="s">
        <v>31</v>
      </c>
      <c r="I26" t="str">
        <f t="shared" si="0"/>
        <v>Sunglasses</v>
      </c>
      <c r="J26" t="str">
        <f t="shared" si="1"/>
        <v>Ray-Ban</v>
      </c>
      <c r="K26" s="11">
        <f t="shared" si="2"/>
        <v>0</v>
      </c>
      <c r="L26">
        <f t="shared" si="3"/>
        <v>25</v>
      </c>
      <c r="M26" t="str">
        <f t="shared" si="4"/>
        <v>Fashion</v>
      </c>
      <c r="N26" s="13">
        <f t="shared" si="5"/>
        <v>46176</v>
      </c>
      <c r="O26" t="str">
        <f t="shared" si="6"/>
        <v>CA</v>
      </c>
      <c r="P26" t="str">
        <f t="shared" si="7"/>
        <v>Ray-Ban Sunglasses</v>
      </c>
    </row>
    <row r="27" spans="1:16" ht="15.75" customHeight="1" x14ac:dyDescent="0.15">
      <c r="A27" s="5" t="s">
        <v>98</v>
      </c>
      <c r="B27" s="5" t="s">
        <v>49</v>
      </c>
      <c r="C27" s="5" t="s">
        <v>99</v>
      </c>
      <c r="D27" s="5">
        <v>400</v>
      </c>
      <c r="E27" s="5">
        <v>40</v>
      </c>
      <c r="F27" s="5" t="s">
        <v>35</v>
      </c>
      <c r="I27" t="str">
        <f t="shared" si="0"/>
        <v>Blender</v>
      </c>
      <c r="J27" t="str">
        <f t="shared" si="1"/>
        <v>Vitamix</v>
      </c>
      <c r="K27" s="11">
        <f t="shared" si="2"/>
        <v>400</v>
      </c>
      <c r="L27">
        <f t="shared" si="3"/>
        <v>40</v>
      </c>
      <c r="M27" t="str">
        <f t="shared" si="4"/>
        <v>Kitchen</v>
      </c>
      <c r="N27" s="13">
        <f t="shared" si="5"/>
        <v>46214</v>
      </c>
      <c r="O27" t="str">
        <f t="shared" si="6"/>
        <v>CA</v>
      </c>
      <c r="P27" t="str">
        <f t="shared" si="7"/>
        <v>Vitamix Blender</v>
      </c>
    </row>
    <row r="28" spans="1:16" ht="15.75" customHeight="1" x14ac:dyDescent="0.15">
      <c r="A28" s="5" t="s">
        <v>100</v>
      </c>
      <c r="B28" s="5" t="s">
        <v>101</v>
      </c>
      <c r="C28" s="5" t="s">
        <v>102</v>
      </c>
      <c r="D28" s="5">
        <v>60</v>
      </c>
      <c r="E28" s="5">
        <v>30</v>
      </c>
      <c r="F28" s="5" t="s">
        <v>31</v>
      </c>
      <c r="I28" t="str">
        <f t="shared" si="0"/>
        <v>Dress</v>
      </c>
      <c r="J28" t="str">
        <f t="shared" si="1"/>
        <v>Zara</v>
      </c>
      <c r="K28" s="11">
        <f t="shared" si="2"/>
        <v>60</v>
      </c>
      <c r="L28">
        <f t="shared" si="3"/>
        <v>30</v>
      </c>
      <c r="M28" t="str">
        <f t="shared" si="4"/>
        <v>Fashion</v>
      </c>
      <c r="N28" s="13">
        <f t="shared" si="5"/>
        <v>46088</v>
      </c>
      <c r="O28" t="str">
        <f t="shared" si="6"/>
        <v>CA</v>
      </c>
      <c r="P28" t="str">
        <f t="shared" si="7"/>
        <v>Zara Dress</v>
      </c>
    </row>
    <row r="29" spans="1:16" ht="15.75" customHeight="1" x14ac:dyDescent="0.15">
      <c r="A29" s="8" t="s">
        <v>103</v>
      </c>
      <c r="B29" s="8" t="s">
        <v>104</v>
      </c>
      <c r="C29" s="8" t="s">
        <v>105</v>
      </c>
      <c r="D29" s="8">
        <v>40</v>
      </c>
      <c r="E29" s="8">
        <v>10</v>
      </c>
      <c r="F29" s="8" t="s">
        <v>35</v>
      </c>
      <c r="I29" t="str">
        <f t="shared" si="0"/>
        <v>Toaster</v>
      </c>
      <c r="J29" t="str">
        <f t="shared" si="1"/>
        <v>Hamilton</v>
      </c>
      <c r="K29" s="11">
        <f t="shared" si="2"/>
        <v>40</v>
      </c>
      <c r="L29">
        <f t="shared" si="3"/>
        <v>10</v>
      </c>
      <c r="M29" t="str">
        <f t="shared" si="4"/>
        <v>Kitchen</v>
      </c>
      <c r="N29" s="13">
        <f t="shared" si="5"/>
        <v>46125</v>
      </c>
      <c r="O29" t="str">
        <f t="shared" si="6"/>
        <v>CA</v>
      </c>
      <c r="P29" t="str">
        <f t="shared" si="7"/>
        <v>Hamilton Toaster</v>
      </c>
    </row>
    <row r="30" spans="1:16" ht="15.75" customHeight="1" x14ac:dyDescent="0.15">
      <c r="A30" s="5" t="s">
        <v>106</v>
      </c>
      <c r="B30" s="5" t="s">
        <v>91</v>
      </c>
      <c r="C30" s="5" t="s">
        <v>107</v>
      </c>
      <c r="D30" s="5">
        <v>130</v>
      </c>
      <c r="E30" s="5">
        <v>5</v>
      </c>
      <c r="F30" s="5" t="s">
        <v>27</v>
      </c>
      <c r="I30" t="str">
        <f t="shared" si="0"/>
        <v>Fitness Tracker</v>
      </c>
      <c r="J30" t="str">
        <f t="shared" si="1"/>
        <v>Garmin</v>
      </c>
      <c r="K30" s="11">
        <f t="shared" si="2"/>
        <v>130</v>
      </c>
      <c r="L30">
        <f t="shared" si="3"/>
        <v>5</v>
      </c>
      <c r="M30" t="str">
        <f t="shared" si="4"/>
        <v>Electronics</v>
      </c>
      <c r="N30" s="13">
        <f t="shared" si="5"/>
        <v>46166</v>
      </c>
      <c r="O30" t="str">
        <f t="shared" si="6"/>
        <v>CA</v>
      </c>
      <c r="P30" t="str">
        <f t="shared" si="7"/>
        <v>Garmin Fitness Tracker</v>
      </c>
    </row>
    <row r="31" spans="1:16" ht="15.75" customHeight="1" x14ac:dyDescent="0.15">
      <c r="A31" s="8" t="s">
        <v>108</v>
      </c>
      <c r="B31" s="8" t="s">
        <v>109</v>
      </c>
      <c r="C31" s="8" t="s">
        <v>110</v>
      </c>
      <c r="D31" s="8">
        <v>50</v>
      </c>
      <c r="E31" s="8">
        <v>50</v>
      </c>
      <c r="F31" s="8" t="s">
        <v>31</v>
      </c>
      <c r="I31" t="str">
        <f t="shared" si="0"/>
        <v>Jeans</v>
      </c>
      <c r="J31" t="str">
        <f>PROPER(C31)</f>
        <v>Levi'S</v>
      </c>
      <c r="K31" s="11">
        <f t="shared" si="2"/>
        <v>50</v>
      </c>
      <c r="L31">
        <f t="shared" si="3"/>
        <v>50</v>
      </c>
      <c r="M31" t="str">
        <f t="shared" si="4"/>
        <v>Fashion</v>
      </c>
      <c r="N31" s="13">
        <f t="shared" si="5"/>
        <v>46358</v>
      </c>
      <c r="O31" t="str">
        <f t="shared" si="6"/>
        <v>CA</v>
      </c>
      <c r="P31" t="str">
        <f t="shared" si="7"/>
        <v>Levi'S Jeans</v>
      </c>
    </row>
    <row r="32" spans="1:16" ht="15.75" customHeight="1" x14ac:dyDescent="0.15">
      <c r="A32" s="8" t="s">
        <v>111</v>
      </c>
      <c r="B32" s="8" t="s">
        <v>112</v>
      </c>
      <c r="C32" s="8" t="s">
        <v>113</v>
      </c>
      <c r="D32" s="8">
        <v>100</v>
      </c>
      <c r="E32" s="8">
        <v>20</v>
      </c>
      <c r="F32" s="8" t="s">
        <v>73</v>
      </c>
      <c r="I32" t="str">
        <f t="shared" si="0"/>
        <v>Watch</v>
      </c>
      <c r="J32" t="str">
        <f t="shared" si="1"/>
        <v>Casio</v>
      </c>
      <c r="K32" s="11">
        <f t="shared" si="2"/>
        <v>100</v>
      </c>
      <c r="L32">
        <f t="shared" si="3"/>
        <v>20</v>
      </c>
      <c r="M32" t="str">
        <f t="shared" si="4"/>
        <v>Accessories</v>
      </c>
      <c r="N32" s="13">
        <f t="shared" si="5"/>
        <v>46212</v>
      </c>
      <c r="O32" t="str">
        <f t="shared" si="6"/>
        <v>FR</v>
      </c>
      <c r="P32" t="str">
        <f t="shared" si="7"/>
        <v>Casio Watch</v>
      </c>
    </row>
    <row r="33" spans="9:16" ht="15.75" customHeight="1" x14ac:dyDescent="0.15">
      <c r="I33" t="str">
        <f t="shared" si="0"/>
        <v/>
      </c>
      <c r="J33" t="str">
        <f t="shared" si="1"/>
        <v/>
      </c>
      <c r="N33" s="13"/>
      <c r="O33" t="str">
        <f t="shared" si="6"/>
        <v/>
      </c>
      <c r="P33" t="str">
        <f t="shared" si="7"/>
        <v xml:space="preserve"> </v>
      </c>
    </row>
    <row r="34" spans="9:16" ht="15.75" customHeight="1" x14ac:dyDescent="0.15">
      <c r="I34" t="str">
        <f t="shared" si="0"/>
        <v/>
      </c>
      <c r="J34" t="str">
        <f t="shared" si="1"/>
        <v/>
      </c>
      <c r="N34" s="13"/>
      <c r="O34" t="str">
        <f t="shared" si="6"/>
        <v/>
      </c>
      <c r="P34" t="str">
        <f t="shared" si="7"/>
        <v xml:space="preserve"> </v>
      </c>
    </row>
    <row r="35" spans="9:16" ht="15.75" customHeight="1" x14ac:dyDescent="0.15">
      <c r="I35" t="str">
        <f t="shared" si="0"/>
        <v/>
      </c>
      <c r="J35" t="str">
        <f t="shared" si="1"/>
        <v/>
      </c>
      <c r="N35" s="13"/>
      <c r="O35" t="str">
        <f t="shared" si="6"/>
        <v/>
      </c>
      <c r="P35" t="str">
        <f t="shared" si="7"/>
        <v xml:space="preserve"> </v>
      </c>
    </row>
    <row r="36" spans="9:16" ht="15.75" customHeight="1" x14ac:dyDescent="0.15"/>
    <row r="37" spans="9:16" ht="15.75" customHeight="1" x14ac:dyDescent="0.15"/>
    <row r="38" spans="9:16" ht="15.75" customHeight="1" x14ac:dyDescent="0.15"/>
    <row r="39" spans="9:16" ht="15.75" customHeight="1" x14ac:dyDescent="0.15"/>
    <row r="40" spans="9:16" ht="15.75" customHeight="1" x14ac:dyDescent="0.15"/>
    <row r="41" spans="9:16" ht="15.75" customHeight="1" x14ac:dyDescent="0.15"/>
    <row r="42" spans="9:16" ht="15.75" customHeight="1" x14ac:dyDescent="0.15"/>
    <row r="43" spans="9:16" ht="15.75" customHeight="1" x14ac:dyDescent="0.15"/>
    <row r="44" spans="9:16" ht="15.75" customHeight="1" x14ac:dyDescent="0.15"/>
    <row r="45" spans="9:16" ht="15.75" customHeight="1" x14ac:dyDescent="0.15"/>
    <row r="46" spans="9:16" ht="15.75" customHeight="1" x14ac:dyDescent="0.15"/>
    <row r="47" spans="9:16" ht="15.75" customHeight="1" x14ac:dyDescent="0.15"/>
    <row r="48" spans="9:16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conditionalFormatting sqref="K1:K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{C662FAB5-06A1-4345-9686-89E6EF85D97E}</x14:id>
        </ext>
      </extLst>
    </cfRule>
  </conditionalFormatting>
  <conditionalFormatting sqref="M1:M32">
    <cfRule type="cellIs" dxfId="0" priority="1" operator="equal">
      <formula>$M$2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62FAB5-06A1-4345-9686-89E6EF85D97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14D96-A9B0-764D-8AE3-4130461EE390}">
  <dimension ref="A1"/>
  <sheetViews>
    <sheetView workbookViewId="0"/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Sidharth Sajeev</cp:lastModifiedBy>
  <dcterms:created xsi:type="dcterms:W3CDTF">2026-08-26T17:54:15Z</dcterms:created>
  <dcterms:modified xsi:type="dcterms:W3CDTF">2026-08-26T17:54:31Z</dcterms:modified>
</cp:coreProperties>
</file>