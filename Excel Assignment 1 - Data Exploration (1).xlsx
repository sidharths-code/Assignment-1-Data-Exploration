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0" documentId="8_{FFB8711C-D7E5-4F9C-A83F-195DC37484A9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Instructions" sheetId="1" r:id="rId1"/>
    <sheet name="Datas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2" i="2" l="1"/>
  <c r="K2" i="2"/>
  <c r="L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2" i="2"/>
  <c r="O2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2" i="2"/>
  <c r="I2" i="2"/>
  <c r="H29" i="2"/>
  <c r="H30" i="2"/>
  <c r="H31" i="2"/>
  <c r="H32" i="2"/>
  <c r="H33" i="2"/>
  <c r="H34" i="2"/>
  <c r="H35" i="2"/>
  <c r="H19" i="2"/>
  <c r="H20" i="2"/>
  <c r="H21" i="2"/>
  <c r="H22" i="2"/>
  <c r="H23" i="2"/>
  <c r="H24" i="2"/>
  <c r="H25" i="2"/>
  <c r="H26" i="2"/>
  <c r="H27" i="2"/>
  <c r="H28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2" i="2"/>
  <c r="H36" i="2" l="1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<sst xmlns="http://schemas.openxmlformats.org/spreadsheetml/2006/main" count="170" uniqueCount="121">
  <si>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</si>
  <si>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</si>
  <si>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</si>
  <si>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</si>
  <si>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</si>
  <si>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</si>
  <si>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</si>
  <si>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</si>
  <si>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</si>
  <si>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</si>
  <si>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</si>
  <si>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</si>
  <si>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</si>
  <si>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</si>
  <si>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</si>
  <si>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</si>
  <si>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</si>
  <si>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</si>
  <si>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</si>
  <si>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</si>
  <si>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</si>
  <si>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</si>
  <si>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</si>
  <si>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 xml:space="preserve"> Total Price </t>
  </si>
  <si>
    <t>Total Number of Products</t>
  </si>
  <si>
    <t xml:space="preserve">Average Price of The Products </t>
  </si>
  <si>
    <t xml:space="preserve">Minimum Price </t>
  </si>
  <si>
    <t>Maximum Price</t>
  </si>
  <si>
    <t>Price Range</t>
  </si>
  <si>
    <t>Total Price of Products In Electronics Category</t>
  </si>
  <si>
    <t>Count of Produtcs Less than 100$</t>
  </si>
  <si>
    <t>Day</t>
  </si>
  <si>
    <t>Country code</t>
  </si>
  <si>
    <t>Month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</si>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</sst>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5703125" defaultRowHeight="15" customHeight="1"/>
  <cols>
    <col min="1" max="1" width="12.5703125" customWidth="1"/>
    <col min="2" max="2" width="7.42578125" customWidth="1"/>
    <col min="3" max="6" width="12.5703125" customWidth="1"/>
  </cols>
  <sheetData>
    <row r="1" spans="1:3" ht="15.75" customHeight="1">
      <c r="A1" s="1" t="s">
        <v>0</v>
      </c>
    </row>
    <row r="2" spans="1:3" ht="15.75" customHeight="1"/>
    <row r="3" spans="1:3" ht="15.75" customHeight="1">
      <c r="B3" s="2" t="s">
        <v>1</v>
      </c>
    </row>
    <row r="4" spans="1:3" ht="15.75" customHeight="1">
      <c r="B4" s="2"/>
      <c r="C4" s="3" t="s">
        <v>2</v>
      </c>
    </row>
    <row r="5" spans="1:3" ht="15.75" customHeight="1">
      <c r="B5" s="2"/>
      <c r="C5" s="3" t="s">
        <v>3</v>
      </c>
    </row>
    <row r="6" spans="1:3" ht="15.75" customHeight="1">
      <c r="B6" s="2"/>
      <c r="C6" s="3" t="s">
        <v>4</v>
      </c>
    </row>
    <row r="7" spans="1:3" ht="15.75" customHeight="1">
      <c r="B7" s="4"/>
    </row>
    <row r="8" spans="1:3" ht="15.75" customHeight="1">
      <c r="B8" s="2" t="s">
        <v>5</v>
      </c>
    </row>
    <row r="9" spans="1:3" ht="15.75" customHeight="1">
      <c r="C9" s="3" t="s">
        <v>6</v>
      </c>
    </row>
    <row r="10" spans="1:3" ht="15.75" customHeight="1">
      <c r="C10" s="3" t="s">
        <v>7</v>
      </c>
    </row>
    <row r="11" spans="1:3" ht="15.75" customHeight="1">
      <c r="B11" s="4"/>
    </row>
    <row r="12" spans="1:3" ht="15.75" customHeight="1">
      <c r="B12" s="2" t="s">
        <v>8</v>
      </c>
    </row>
    <row r="13" spans="1:3" ht="15.75" customHeight="1">
      <c r="C13" s="3" t="s">
        <v>9</v>
      </c>
    </row>
    <row r="14" spans="1:3" ht="15.75" customHeight="1">
      <c r="B14" s="4"/>
    </row>
    <row r="15" spans="1:3" ht="15.75" customHeight="1">
      <c r="B15" s="2" t="s">
        <v>10</v>
      </c>
    </row>
    <row r="16" spans="1:3" ht="15.75" customHeight="1">
      <c r="C16" s="3" t="s">
        <v>11</v>
      </c>
    </row>
    <row r="17" spans="2:3" ht="15.75" customHeight="1">
      <c r="C17" s="3" t="s">
        <v>12</v>
      </c>
    </row>
    <row r="18" spans="2:3" ht="15.75" customHeight="1">
      <c r="B18" s="4"/>
    </row>
    <row r="19" spans="2:3" ht="15.75" customHeight="1">
      <c r="B19" s="2" t="s">
        <v>13</v>
      </c>
    </row>
    <row r="20" spans="2:3" ht="15.75" customHeight="1">
      <c r="C20" s="3" t="s">
        <v>14</v>
      </c>
    </row>
    <row r="21" spans="2:3" ht="15.75" customHeight="1">
      <c r="C21" s="3" t="s">
        <v>15</v>
      </c>
    </row>
    <row r="22" spans="2:3" ht="15.75" customHeight="1">
      <c r="C22" s="3" t="s">
        <v>16</v>
      </c>
    </row>
    <row r="23" spans="2:3" ht="15.75" customHeight="1">
      <c r="B23" s="4"/>
    </row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0"/>
  <sheetViews>
    <sheetView tabSelected="1" workbookViewId="0">
      <selection activeCell="J3" sqref="J3"/>
    </sheetView>
  </sheetViews>
  <sheetFormatPr defaultColWidth="12.5703125" defaultRowHeight="15" customHeight="1"/>
  <cols>
    <col min="1" max="1" width="12.5703125" customWidth="1"/>
    <col min="2" max="2" width="14.140625" customWidth="1"/>
    <col min="3" max="6" width="12.5703125" customWidth="1"/>
    <col min="9" max="9" width="24.42578125" bestFit="1" customWidth="1"/>
    <col min="10" max="10" width="27.5703125" bestFit="1" customWidth="1"/>
    <col min="11" max="11" width="14.140625" bestFit="1" customWidth="1"/>
    <col min="12" max="13" width="14.85546875" bestFit="1" customWidth="1"/>
    <col min="14" max="14" width="43.85546875" bestFit="1" customWidth="1"/>
    <col min="15" max="15" width="30" bestFit="1" customWidth="1"/>
  </cols>
  <sheetData>
    <row r="1" spans="1:18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  <c r="H1" s="11" t="s">
        <v>23</v>
      </c>
      <c r="I1" s="10" t="s">
        <v>24</v>
      </c>
      <c r="J1" s="10" t="s">
        <v>25</v>
      </c>
      <c r="K1" s="11" t="s">
        <v>26</v>
      </c>
      <c r="L1" s="11" t="s">
        <v>27</v>
      </c>
      <c r="M1" s="11" t="s">
        <v>28</v>
      </c>
      <c r="N1" s="11" t="s">
        <v>29</v>
      </c>
      <c r="O1" s="10" t="s">
        <v>30</v>
      </c>
      <c r="P1" s="11" t="s">
        <v>31</v>
      </c>
      <c r="Q1" s="11" t="s">
        <v>32</v>
      </c>
      <c r="R1" s="11" t="s">
        <v>33</v>
      </c>
    </row>
    <row r="2" spans="1:18" ht="15.75" customHeight="1">
      <c r="A2" s="7" t="s">
        <v>34</v>
      </c>
      <c r="B2" s="7" t="s">
        <v>35</v>
      </c>
      <c r="C2" s="7" t="s">
        <v>36</v>
      </c>
      <c r="D2" s="7">
        <v>1000</v>
      </c>
      <c r="E2" s="7">
        <v>30</v>
      </c>
      <c r="F2" s="7" t="s">
        <v>37</v>
      </c>
      <c r="G2" s="7"/>
      <c r="H2">
        <f>D2*E2</f>
        <v>30000</v>
      </c>
      <c r="I2">
        <f>COUNTA(A2:A35)</f>
        <v>34</v>
      </c>
      <c r="J2">
        <f>AVERAGE(D2:D35)</f>
        <v>297.05882352941177</v>
      </c>
      <c r="K2">
        <f>MIN(D2:D35)</f>
        <v>30</v>
      </c>
      <c r="L2">
        <f>MAX(D2:D35)</f>
        <v>1000</v>
      </c>
      <c r="M2" t="str">
        <f>IF(D2&gt;=500,"High Price","Standard Price")</f>
        <v>High Price</v>
      </c>
      <c r="N2">
        <f>SUMIF(F2:F35,"Electronics",D2:D35)</f>
        <v>8050</v>
      </c>
      <c r="O2">
        <f>COUNTIF(D2:D35,"&lt;100")</f>
        <v>11</v>
      </c>
      <c r="P2" t="str">
        <f>LEFT(A2,2)</f>
        <v>28</v>
      </c>
      <c r="Q2" t="str">
        <f>RIGHT(A2,2)</f>
        <v>US</v>
      </c>
      <c r="R2" t="str">
        <f>MID(A2,4,3)</f>
        <v>JAN</v>
      </c>
    </row>
    <row r="3" spans="1:18" ht="15.75" customHeight="1">
      <c r="A3" s="8" t="s">
        <v>38</v>
      </c>
      <c r="B3" s="8" t="s">
        <v>39</v>
      </c>
      <c r="C3" s="8" t="s">
        <v>40</v>
      </c>
      <c r="D3" s="8">
        <v>80</v>
      </c>
      <c r="E3" s="8">
        <v>15</v>
      </c>
      <c r="F3" s="8" t="s">
        <v>41</v>
      </c>
      <c r="G3" s="7"/>
      <c r="H3">
        <f t="shared" ref="H3:H35" si="0">D3*E3</f>
        <v>1200</v>
      </c>
      <c r="M3" t="str">
        <f t="shared" ref="M3:M35" si="1">IF(D3&gt;=500,"High Price","Standard Price")</f>
        <v>Standard Price</v>
      </c>
      <c r="P3" t="str">
        <f t="shared" ref="P3:P35" si="2">LEFT(A3,2)</f>
        <v>15</v>
      </c>
      <c r="Q3" t="str">
        <f t="shared" ref="Q3:Q35" si="3">RIGHT(A3,2)</f>
        <v>US</v>
      </c>
      <c r="R3" t="str">
        <f t="shared" ref="R3:R35" si="4">MID(A3,4,3)</f>
        <v>FEB</v>
      </c>
    </row>
    <row r="4" spans="1:18" ht="15.75" customHeight="1">
      <c r="A4" s="7" t="s">
        <v>42</v>
      </c>
      <c r="B4" s="7" t="s">
        <v>43</v>
      </c>
      <c r="C4" s="7" t="s">
        <v>44</v>
      </c>
      <c r="D4" s="7">
        <v>130</v>
      </c>
      <c r="E4" s="7">
        <v>40</v>
      </c>
      <c r="F4" s="7" t="s">
        <v>45</v>
      </c>
      <c r="G4" s="7"/>
      <c r="H4">
        <f t="shared" si="0"/>
        <v>5200</v>
      </c>
      <c r="M4" t="str">
        <f t="shared" si="1"/>
        <v>Standard Price</v>
      </c>
      <c r="N4" s="12"/>
      <c r="P4" t="str">
        <f t="shared" si="2"/>
        <v>03</v>
      </c>
      <c r="Q4" t="str">
        <f t="shared" si="3"/>
        <v>US</v>
      </c>
      <c r="R4" t="str">
        <f t="shared" si="4"/>
        <v>MAR</v>
      </c>
    </row>
    <row r="5" spans="1:18" ht="15.75" customHeight="1">
      <c r="A5" s="8" t="s">
        <v>46</v>
      </c>
      <c r="B5" s="8" t="s">
        <v>47</v>
      </c>
      <c r="C5" s="8" t="s">
        <v>48</v>
      </c>
      <c r="D5" s="8">
        <v>900</v>
      </c>
      <c r="E5" s="8">
        <v>25</v>
      </c>
      <c r="F5" s="8" t="s">
        <v>37</v>
      </c>
      <c r="G5" s="7"/>
      <c r="H5">
        <f t="shared" si="0"/>
        <v>22500</v>
      </c>
      <c r="M5" t="str">
        <f t="shared" si="1"/>
        <v>High Price</v>
      </c>
      <c r="P5" t="str">
        <f t="shared" si="2"/>
        <v>11</v>
      </c>
      <c r="Q5" t="str">
        <f t="shared" si="3"/>
        <v>US</v>
      </c>
      <c r="R5" t="str">
        <f t="shared" si="4"/>
        <v>APR</v>
      </c>
    </row>
    <row r="6" spans="1:18" ht="15.75" customHeight="1">
      <c r="A6" s="7" t="s">
        <v>49</v>
      </c>
      <c r="B6" s="7" t="s">
        <v>50</v>
      </c>
      <c r="C6" s="7" t="s">
        <v>51</v>
      </c>
      <c r="D6" s="7">
        <v>70</v>
      </c>
      <c r="E6" s="7">
        <v>20</v>
      </c>
      <c r="F6" s="7" t="s">
        <v>52</v>
      </c>
      <c r="G6" s="7"/>
      <c r="H6">
        <f t="shared" si="0"/>
        <v>1400</v>
      </c>
      <c r="M6" t="str">
        <f t="shared" si="1"/>
        <v>Standard Price</v>
      </c>
      <c r="P6" t="str">
        <f t="shared" si="2"/>
        <v>22</v>
      </c>
      <c r="Q6" t="str">
        <f t="shared" si="3"/>
        <v>US</v>
      </c>
      <c r="R6" t="str">
        <f t="shared" si="4"/>
        <v>MAY</v>
      </c>
    </row>
    <row r="7" spans="1:18" ht="15.75" customHeight="1">
      <c r="A7" s="8" t="s">
        <v>53</v>
      </c>
      <c r="B7" s="8" t="s">
        <v>54</v>
      </c>
      <c r="C7" s="8" t="s">
        <v>55</v>
      </c>
      <c r="D7" s="8">
        <v>200</v>
      </c>
      <c r="E7" s="8">
        <v>45</v>
      </c>
      <c r="F7" s="8" t="s">
        <v>37</v>
      </c>
      <c r="G7" s="7"/>
      <c r="H7">
        <f t="shared" si="0"/>
        <v>9000</v>
      </c>
      <c r="M7" t="str">
        <f t="shared" si="1"/>
        <v>Standard Price</v>
      </c>
      <c r="P7" t="str">
        <f t="shared" si="2"/>
        <v>07</v>
      </c>
      <c r="Q7" t="str">
        <f t="shared" si="3"/>
        <v>UK</v>
      </c>
      <c r="R7" t="str">
        <f t="shared" si="4"/>
        <v>JUN</v>
      </c>
    </row>
    <row r="8" spans="1:18" ht="15.75" customHeight="1">
      <c r="A8" s="7" t="s">
        <v>56</v>
      </c>
      <c r="B8" s="7" t="s">
        <v>57</v>
      </c>
      <c r="C8" s="7" t="s">
        <v>58</v>
      </c>
      <c r="D8" s="7">
        <v>30</v>
      </c>
      <c r="E8" s="7">
        <v>5</v>
      </c>
      <c r="F8" s="7" t="s">
        <v>41</v>
      </c>
      <c r="G8" s="7"/>
      <c r="H8">
        <f t="shared" si="0"/>
        <v>150</v>
      </c>
      <c r="M8" t="str">
        <f t="shared" si="1"/>
        <v>Standard Price</v>
      </c>
      <c r="P8" t="str">
        <f t="shared" si="2"/>
        <v>19</v>
      </c>
      <c r="Q8" t="str">
        <f t="shared" si="3"/>
        <v>UK</v>
      </c>
      <c r="R8" t="str">
        <f t="shared" si="4"/>
        <v>JUL</v>
      </c>
    </row>
    <row r="9" spans="1:18" ht="15.75" customHeight="1">
      <c r="A9" s="8" t="s">
        <v>59</v>
      </c>
      <c r="B9" s="8" t="s">
        <v>60</v>
      </c>
      <c r="C9" s="8" t="s">
        <v>61</v>
      </c>
      <c r="D9" s="8">
        <v>90</v>
      </c>
      <c r="E9" s="8">
        <v>35</v>
      </c>
      <c r="F9" s="8" t="s">
        <v>45</v>
      </c>
      <c r="G9" s="7"/>
      <c r="H9">
        <f t="shared" si="0"/>
        <v>3150</v>
      </c>
      <c r="M9" t="str">
        <f t="shared" si="1"/>
        <v>Standard Price</v>
      </c>
      <c r="P9" t="str">
        <f t="shared" si="2"/>
        <v>23</v>
      </c>
      <c r="Q9" t="str">
        <f t="shared" si="3"/>
        <v>UK</v>
      </c>
      <c r="R9" t="str">
        <f t="shared" si="4"/>
        <v>AUG</v>
      </c>
    </row>
    <row r="10" spans="1:18" ht="15.75" customHeight="1">
      <c r="A10" s="7" t="s">
        <v>62</v>
      </c>
      <c r="B10" s="7" t="s">
        <v>63</v>
      </c>
      <c r="C10" s="7" t="s">
        <v>64</v>
      </c>
      <c r="D10" s="7">
        <v>500</v>
      </c>
      <c r="E10" s="7">
        <v>50</v>
      </c>
      <c r="F10" s="7" t="s">
        <v>37</v>
      </c>
      <c r="G10" s="7"/>
      <c r="H10">
        <f t="shared" si="0"/>
        <v>25000</v>
      </c>
      <c r="M10" t="str">
        <f t="shared" si="1"/>
        <v>High Price</v>
      </c>
      <c r="P10" t="str">
        <f t="shared" si="2"/>
        <v>05</v>
      </c>
      <c r="Q10" t="str">
        <f t="shared" si="3"/>
        <v>UK</v>
      </c>
      <c r="R10" t="str">
        <f t="shared" si="4"/>
        <v>SEP</v>
      </c>
    </row>
    <row r="11" spans="1:18" ht="15.75" customHeight="1">
      <c r="A11" s="8" t="s">
        <v>65</v>
      </c>
      <c r="B11" s="8" t="s">
        <v>66</v>
      </c>
      <c r="C11" s="8" t="s">
        <v>67</v>
      </c>
      <c r="D11" s="8">
        <v>130</v>
      </c>
      <c r="E11" s="8">
        <v>10</v>
      </c>
      <c r="F11" s="8" t="s">
        <v>52</v>
      </c>
      <c r="G11" s="7"/>
      <c r="H11">
        <f t="shared" si="0"/>
        <v>1300</v>
      </c>
      <c r="M11" t="str">
        <f t="shared" si="1"/>
        <v>Standard Price</v>
      </c>
      <c r="P11" t="str">
        <f t="shared" si="2"/>
        <v>14</v>
      </c>
      <c r="Q11" t="str">
        <f t="shared" si="3"/>
        <v>UK</v>
      </c>
      <c r="R11" t="str">
        <f t="shared" si="4"/>
        <v>OCT</v>
      </c>
    </row>
    <row r="12" spans="1:18" ht="15.75" customHeight="1">
      <c r="A12" s="7" t="s">
        <v>68</v>
      </c>
      <c r="B12" s="7" t="s">
        <v>35</v>
      </c>
      <c r="C12" s="7" t="s">
        <v>69</v>
      </c>
      <c r="D12" s="7">
        <v>950</v>
      </c>
      <c r="E12" s="7">
        <v>25</v>
      </c>
      <c r="F12" s="7" t="s">
        <v>37</v>
      </c>
      <c r="G12" s="7"/>
      <c r="H12">
        <f t="shared" si="0"/>
        <v>23750</v>
      </c>
      <c r="M12" t="str">
        <f t="shared" si="1"/>
        <v>High Price</v>
      </c>
      <c r="P12" t="str">
        <f t="shared" si="2"/>
        <v>17</v>
      </c>
      <c r="Q12" t="str">
        <f t="shared" si="3"/>
        <v>IN</v>
      </c>
      <c r="R12" t="str">
        <f t="shared" si="4"/>
        <v>JUN</v>
      </c>
    </row>
    <row r="13" spans="1:18" ht="15.75" customHeight="1">
      <c r="A13" s="8" t="s">
        <v>70</v>
      </c>
      <c r="B13" s="8" t="s">
        <v>39</v>
      </c>
      <c r="C13" s="8" t="s">
        <v>58</v>
      </c>
      <c r="D13" s="8">
        <v>90</v>
      </c>
      <c r="E13" s="8">
        <v>40</v>
      </c>
      <c r="F13" s="8" t="s">
        <v>41</v>
      </c>
      <c r="G13" s="7"/>
      <c r="H13">
        <f t="shared" si="0"/>
        <v>3600</v>
      </c>
      <c r="M13" t="str">
        <f t="shared" si="1"/>
        <v>Standard Price</v>
      </c>
      <c r="P13" t="str">
        <f t="shared" si="2"/>
        <v>25</v>
      </c>
      <c r="Q13" t="str">
        <f t="shared" si="3"/>
        <v>AU</v>
      </c>
      <c r="R13" t="str">
        <f t="shared" si="4"/>
        <v>NOV</v>
      </c>
    </row>
    <row r="14" spans="1:18" ht="15.75" customHeight="1">
      <c r="A14" s="7" t="s">
        <v>71</v>
      </c>
      <c r="B14" s="7" t="s">
        <v>43</v>
      </c>
      <c r="C14" s="7" t="s">
        <v>72</v>
      </c>
      <c r="D14" s="7">
        <v>120</v>
      </c>
      <c r="E14" s="7">
        <v>35</v>
      </c>
      <c r="F14" s="7" t="s">
        <v>45</v>
      </c>
      <c r="G14" s="7"/>
      <c r="H14">
        <f t="shared" si="0"/>
        <v>4200</v>
      </c>
      <c r="M14" t="str">
        <f t="shared" si="1"/>
        <v>Standard Price</v>
      </c>
      <c r="P14" t="str">
        <f t="shared" si="2"/>
        <v>08</v>
      </c>
      <c r="Q14" t="str">
        <f t="shared" si="3"/>
        <v>DE</v>
      </c>
      <c r="R14" t="str">
        <f t="shared" si="4"/>
        <v>DEC</v>
      </c>
    </row>
    <row r="15" spans="1:18" ht="15.75" customHeight="1">
      <c r="A15" s="8" t="s">
        <v>73</v>
      </c>
      <c r="B15" s="8" t="s">
        <v>74</v>
      </c>
      <c r="C15" s="8" t="s">
        <v>75</v>
      </c>
      <c r="D15" s="8">
        <v>150</v>
      </c>
      <c r="E15" s="8">
        <v>15</v>
      </c>
      <c r="F15" s="8" t="s">
        <v>37</v>
      </c>
      <c r="G15" s="7"/>
      <c r="H15">
        <f t="shared" si="0"/>
        <v>2250</v>
      </c>
      <c r="M15" t="str">
        <f t="shared" si="1"/>
        <v>Standard Price</v>
      </c>
      <c r="P15" t="str">
        <f t="shared" si="2"/>
        <v>18</v>
      </c>
      <c r="Q15" t="str">
        <f t="shared" si="3"/>
        <v>CA</v>
      </c>
      <c r="R15" t="str">
        <f t="shared" si="4"/>
        <v>FEB</v>
      </c>
    </row>
    <row r="16" spans="1:18" ht="15.75" customHeight="1">
      <c r="A16" s="7" t="s">
        <v>76</v>
      </c>
      <c r="B16" s="7" t="s">
        <v>54</v>
      </c>
      <c r="C16" s="7" t="s">
        <v>77</v>
      </c>
      <c r="D16" s="7">
        <v>250</v>
      </c>
      <c r="E16" s="7">
        <v>20</v>
      </c>
      <c r="F16" s="7" t="s">
        <v>37</v>
      </c>
      <c r="G16" s="7"/>
      <c r="H16">
        <f t="shared" si="0"/>
        <v>5000</v>
      </c>
      <c r="M16" t="str">
        <f t="shared" si="1"/>
        <v>Standard Price</v>
      </c>
      <c r="P16" t="str">
        <f t="shared" si="2"/>
        <v>16</v>
      </c>
      <c r="Q16" t="str">
        <f t="shared" si="3"/>
        <v>ES</v>
      </c>
      <c r="R16" t="str">
        <f t="shared" si="4"/>
        <v>APR</v>
      </c>
    </row>
    <row r="17" spans="1:18" ht="15.75" customHeight="1">
      <c r="A17" s="8" t="s">
        <v>78</v>
      </c>
      <c r="B17" s="8" t="s">
        <v>79</v>
      </c>
      <c r="C17" s="8" t="s">
        <v>80</v>
      </c>
      <c r="D17" s="8">
        <v>50</v>
      </c>
      <c r="E17" s="8">
        <v>35</v>
      </c>
      <c r="F17" s="8" t="s">
        <v>81</v>
      </c>
      <c r="G17" s="7"/>
      <c r="H17">
        <f t="shared" si="0"/>
        <v>1750</v>
      </c>
      <c r="M17" t="str">
        <f t="shared" si="1"/>
        <v>Standard Price</v>
      </c>
      <c r="P17" t="str">
        <f t="shared" si="2"/>
        <v>21</v>
      </c>
      <c r="Q17" t="str">
        <f t="shared" si="3"/>
        <v>CA</v>
      </c>
      <c r="R17" t="str">
        <f t="shared" si="4"/>
        <v>AUG</v>
      </c>
    </row>
    <row r="18" spans="1:18" ht="15.75" customHeight="1">
      <c r="A18" s="7" t="s">
        <v>82</v>
      </c>
      <c r="B18" s="7" t="s">
        <v>74</v>
      </c>
      <c r="C18" s="7" t="s">
        <v>83</v>
      </c>
      <c r="D18" s="7">
        <v>160</v>
      </c>
      <c r="E18" s="7">
        <v>15</v>
      </c>
      <c r="F18" s="7" t="s">
        <v>37</v>
      </c>
      <c r="G18" s="7"/>
      <c r="H18">
        <f t="shared" si="0"/>
        <v>2400</v>
      </c>
      <c r="M18" t="str">
        <f t="shared" si="1"/>
        <v>Standard Price</v>
      </c>
      <c r="P18" t="str">
        <f t="shared" si="2"/>
        <v>20</v>
      </c>
      <c r="Q18" t="str">
        <f t="shared" si="3"/>
        <v>CN</v>
      </c>
      <c r="R18" t="str">
        <f t="shared" si="4"/>
        <v>AUG</v>
      </c>
    </row>
    <row r="19" spans="1:18" ht="15.75" customHeight="1">
      <c r="A19" s="8" t="s">
        <v>84</v>
      </c>
      <c r="B19" s="8" t="s">
        <v>35</v>
      </c>
      <c r="C19" s="8" t="s">
        <v>85</v>
      </c>
      <c r="D19" s="8">
        <v>980</v>
      </c>
      <c r="E19" s="8">
        <v>10</v>
      </c>
      <c r="F19" s="8" t="s">
        <v>37</v>
      </c>
      <c r="G19" s="7"/>
      <c r="H19">
        <f>D19*E19</f>
        <v>9800</v>
      </c>
      <c r="M19" t="str">
        <f t="shared" si="1"/>
        <v>High Price</v>
      </c>
      <c r="P19" t="str">
        <f t="shared" si="2"/>
        <v>27</v>
      </c>
      <c r="Q19" t="str">
        <f t="shared" si="3"/>
        <v>IT</v>
      </c>
      <c r="R19" t="str">
        <f t="shared" si="4"/>
        <v>JAN</v>
      </c>
    </row>
    <row r="20" spans="1:18" ht="15.75" customHeight="1">
      <c r="A20" s="7" t="s">
        <v>86</v>
      </c>
      <c r="B20" s="7" t="s">
        <v>87</v>
      </c>
      <c r="C20" s="7" t="s">
        <v>88</v>
      </c>
      <c r="D20" s="7">
        <v>150</v>
      </c>
      <c r="E20" s="7">
        <v>15</v>
      </c>
      <c r="F20" s="7" t="s">
        <v>41</v>
      </c>
      <c r="G20" s="7"/>
      <c r="H20">
        <f t="shared" si="0"/>
        <v>2250</v>
      </c>
      <c r="M20" t="str">
        <f t="shared" si="1"/>
        <v>Standard Price</v>
      </c>
      <c r="P20" t="str">
        <f t="shared" si="2"/>
        <v>01</v>
      </c>
      <c r="Q20" t="str">
        <f t="shared" si="3"/>
        <v>UK</v>
      </c>
      <c r="R20" t="str">
        <f t="shared" si="4"/>
        <v>MAR</v>
      </c>
    </row>
    <row r="21" spans="1:18" ht="15.75" customHeight="1">
      <c r="A21" s="8" t="s">
        <v>89</v>
      </c>
      <c r="B21" s="8" t="s">
        <v>90</v>
      </c>
      <c r="C21" s="8" t="s">
        <v>91</v>
      </c>
      <c r="D21" s="8">
        <v>200</v>
      </c>
      <c r="E21" s="8">
        <v>10</v>
      </c>
      <c r="F21" s="8" t="s">
        <v>52</v>
      </c>
      <c r="G21" s="7"/>
      <c r="H21">
        <f t="shared" si="0"/>
        <v>2000</v>
      </c>
      <c r="M21" t="str">
        <f t="shared" si="1"/>
        <v>Standard Price</v>
      </c>
      <c r="P21" t="str">
        <f t="shared" si="2"/>
        <v>14</v>
      </c>
      <c r="Q21" t="str">
        <f t="shared" si="3"/>
        <v>US</v>
      </c>
      <c r="R21" t="str">
        <f t="shared" si="4"/>
        <v>AUG</v>
      </c>
    </row>
    <row r="22" spans="1:18" ht="15.75" customHeight="1">
      <c r="A22" s="7" t="s">
        <v>92</v>
      </c>
      <c r="B22" s="7" t="s">
        <v>93</v>
      </c>
      <c r="C22" s="7" t="s">
        <v>94</v>
      </c>
      <c r="D22" s="7">
        <v>700</v>
      </c>
      <c r="E22" s="7">
        <v>50</v>
      </c>
      <c r="F22" s="7" t="s">
        <v>37</v>
      </c>
      <c r="G22" s="7"/>
      <c r="H22">
        <f t="shared" si="0"/>
        <v>35000</v>
      </c>
      <c r="M22" t="str">
        <f t="shared" si="1"/>
        <v>High Price</v>
      </c>
      <c r="P22" t="str">
        <f t="shared" si="2"/>
        <v>14</v>
      </c>
      <c r="Q22" t="str">
        <f t="shared" si="3"/>
        <v>RU</v>
      </c>
      <c r="R22" t="str">
        <f t="shared" si="4"/>
        <v>MAY</v>
      </c>
    </row>
    <row r="23" spans="1:18" ht="15.75" customHeight="1">
      <c r="A23" s="8" t="s">
        <v>95</v>
      </c>
      <c r="B23" s="8" t="s">
        <v>96</v>
      </c>
      <c r="C23" s="8" t="s">
        <v>97</v>
      </c>
      <c r="D23" s="8">
        <v>80</v>
      </c>
      <c r="E23" s="8">
        <v>20</v>
      </c>
      <c r="F23" s="8" t="s">
        <v>45</v>
      </c>
      <c r="G23" s="7"/>
      <c r="H23">
        <f t="shared" si="0"/>
        <v>1600</v>
      </c>
      <c r="M23" t="str">
        <f t="shared" si="1"/>
        <v>Standard Price</v>
      </c>
      <c r="P23" t="str">
        <f t="shared" si="2"/>
        <v>09</v>
      </c>
      <c r="Q23" t="str">
        <f t="shared" si="3"/>
        <v>CA</v>
      </c>
      <c r="R23" t="str">
        <f t="shared" si="4"/>
        <v>JAN</v>
      </c>
    </row>
    <row r="24" spans="1:18" ht="15.75" customHeight="1">
      <c r="A24" s="7" t="s">
        <v>98</v>
      </c>
      <c r="B24" s="7" t="s">
        <v>99</v>
      </c>
      <c r="C24" s="7" t="s">
        <v>100</v>
      </c>
      <c r="D24" s="7">
        <v>150</v>
      </c>
      <c r="E24" s="7">
        <v>30</v>
      </c>
      <c r="F24" s="7" t="s">
        <v>37</v>
      </c>
      <c r="G24" s="7"/>
      <c r="H24">
        <f t="shared" si="0"/>
        <v>4500</v>
      </c>
      <c r="M24" t="str">
        <f t="shared" si="1"/>
        <v>Standard Price</v>
      </c>
      <c r="P24" t="str">
        <f t="shared" si="2"/>
        <v>19</v>
      </c>
      <c r="Q24" t="str">
        <f t="shared" si="3"/>
        <v>BR</v>
      </c>
      <c r="R24" t="str">
        <f t="shared" si="4"/>
        <v>JUL</v>
      </c>
    </row>
    <row r="25" spans="1:18" ht="15.75" customHeight="1">
      <c r="A25" s="8" t="s">
        <v>78</v>
      </c>
      <c r="B25" s="8" t="s">
        <v>79</v>
      </c>
      <c r="C25" s="8" t="s">
        <v>80</v>
      </c>
      <c r="D25" s="8">
        <v>50</v>
      </c>
      <c r="E25" s="8">
        <v>35</v>
      </c>
      <c r="F25" s="8" t="s">
        <v>81</v>
      </c>
      <c r="G25" s="9"/>
      <c r="H25">
        <f t="shared" si="0"/>
        <v>1750</v>
      </c>
      <c r="M25" t="str">
        <f t="shared" si="1"/>
        <v>Standard Price</v>
      </c>
      <c r="P25" t="str">
        <f t="shared" si="2"/>
        <v>21</v>
      </c>
      <c r="Q25" t="str">
        <f t="shared" si="3"/>
        <v>CA</v>
      </c>
      <c r="R25" t="str">
        <f t="shared" si="4"/>
        <v>AUG</v>
      </c>
    </row>
    <row r="26" spans="1:18" ht="15.75" customHeight="1">
      <c r="A26" s="7" t="s">
        <v>101</v>
      </c>
      <c r="B26" s="7" t="s">
        <v>47</v>
      </c>
      <c r="C26" s="7" t="s">
        <v>102</v>
      </c>
      <c r="D26" s="7">
        <v>800</v>
      </c>
      <c r="E26" s="7">
        <v>45</v>
      </c>
      <c r="F26" s="7" t="s">
        <v>37</v>
      </c>
      <c r="G26" s="7"/>
      <c r="H26">
        <f t="shared" si="0"/>
        <v>36000</v>
      </c>
      <c r="M26" t="str">
        <f t="shared" si="1"/>
        <v>High Price</v>
      </c>
      <c r="P26" t="str">
        <f t="shared" si="2"/>
        <v>29</v>
      </c>
      <c r="Q26" t="str">
        <f t="shared" si="3"/>
        <v>CA</v>
      </c>
      <c r="R26" t="str">
        <f t="shared" si="4"/>
        <v>SEP</v>
      </c>
    </row>
    <row r="27" spans="1:18" ht="15.75" customHeight="1">
      <c r="A27" s="8" t="s">
        <v>103</v>
      </c>
      <c r="B27" s="8" t="s">
        <v>87</v>
      </c>
      <c r="C27" s="8" t="s">
        <v>104</v>
      </c>
      <c r="D27" s="8">
        <v>130</v>
      </c>
      <c r="E27" s="8">
        <v>25</v>
      </c>
      <c r="F27" s="8" t="s">
        <v>41</v>
      </c>
      <c r="G27" s="7"/>
      <c r="H27">
        <f t="shared" si="0"/>
        <v>3250</v>
      </c>
      <c r="M27" t="str">
        <f t="shared" si="1"/>
        <v>Standard Price</v>
      </c>
      <c r="P27" t="str">
        <f t="shared" si="2"/>
        <v>03</v>
      </c>
      <c r="Q27" t="str">
        <f t="shared" si="3"/>
        <v>CA</v>
      </c>
      <c r="R27" t="str">
        <f t="shared" si="4"/>
        <v>JUN</v>
      </c>
    </row>
    <row r="28" spans="1:18" ht="15.75" customHeight="1">
      <c r="A28" s="7" t="s">
        <v>105</v>
      </c>
      <c r="B28" s="7" t="s">
        <v>60</v>
      </c>
      <c r="C28" s="7" t="s">
        <v>106</v>
      </c>
      <c r="D28" s="7">
        <v>400</v>
      </c>
      <c r="E28" s="7">
        <v>40</v>
      </c>
      <c r="F28" s="7" t="s">
        <v>45</v>
      </c>
      <c r="G28" s="7"/>
      <c r="H28">
        <f t="shared" si="0"/>
        <v>16000</v>
      </c>
      <c r="M28" t="str">
        <f t="shared" si="1"/>
        <v>Standard Price</v>
      </c>
      <c r="P28" t="str">
        <f t="shared" si="2"/>
        <v>11</v>
      </c>
      <c r="Q28" t="str">
        <f t="shared" si="3"/>
        <v>CA</v>
      </c>
      <c r="R28" t="str">
        <f t="shared" si="4"/>
        <v>JUL</v>
      </c>
    </row>
    <row r="29" spans="1:18" ht="15.75" customHeight="1">
      <c r="A29" s="8" t="s">
        <v>76</v>
      </c>
      <c r="B29" s="8" t="s">
        <v>54</v>
      </c>
      <c r="C29" s="8" t="s">
        <v>77</v>
      </c>
      <c r="D29" s="8">
        <v>230</v>
      </c>
      <c r="E29" s="8">
        <v>20</v>
      </c>
      <c r="F29" s="8" t="s">
        <v>37</v>
      </c>
      <c r="G29" s="9"/>
      <c r="H29">
        <f>D29*E29</f>
        <v>4600</v>
      </c>
      <c r="M29" t="str">
        <f t="shared" si="1"/>
        <v>Standard Price</v>
      </c>
      <c r="P29" t="str">
        <f t="shared" si="2"/>
        <v>16</v>
      </c>
      <c r="Q29" t="str">
        <f t="shared" si="3"/>
        <v>ES</v>
      </c>
      <c r="R29" t="str">
        <f t="shared" si="4"/>
        <v>APR</v>
      </c>
    </row>
    <row r="30" spans="1:18" ht="15.75" customHeight="1">
      <c r="A30" s="7" t="s">
        <v>107</v>
      </c>
      <c r="B30" s="7" t="s">
        <v>108</v>
      </c>
      <c r="C30" s="7" t="s">
        <v>109</v>
      </c>
      <c r="D30" s="7">
        <v>60</v>
      </c>
      <c r="E30" s="7">
        <v>30</v>
      </c>
      <c r="F30" s="7" t="s">
        <v>41</v>
      </c>
      <c r="G30" s="7"/>
      <c r="H30">
        <f t="shared" si="0"/>
        <v>1800</v>
      </c>
      <c r="M30" t="str">
        <f t="shared" si="1"/>
        <v>Standard Price</v>
      </c>
      <c r="P30" t="str">
        <f t="shared" si="2"/>
        <v>07</v>
      </c>
      <c r="Q30" t="str">
        <f t="shared" si="3"/>
        <v>CA</v>
      </c>
      <c r="R30" t="str">
        <f t="shared" si="4"/>
        <v>MAR</v>
      </c>
    </row>
    <row r="31" spans="1:18" ht="15.75" customHeight="1">
      <c r="A31" s="8" t="s">
        <v>110</v>
      </c>
      <c r="B31" s="8" t="s">
        <v>111</v>
      </c>
      <c r="C31" s="8" t="s">
        <v>112</v>
      </c>
      <c r="D31" s="8">
        <v>40</v>
      </c>
      <c r="E31" s="8">
        <v>10</v>
      </c>
      <c r="F31" s="8" t="s">
        <v>45</v>
      </c>
      <c r="G31" s="7"/>
      <c r="H31">
        <f t="shared" si="0"/>
        <v>400</v>
      </c>
      <c r="M31" t="str">
        <f t="shared" si="1"/>
        <v>Standard Price</v>
      </c>
      <c r="P31" t="str">
        <f t="shared" si="2"/>
        <v>13</v>
      </c>
      <c r="Q31" t="str">
        <f t="shared" si="3"/>
        <v>CA</v>
      </c>
      <c r="R31" t="str">
        <f t="shared" si="4"/>
        <v>APR</v>
      </c>
    </row>
    <row r="32" spans="1:18" ht="15.75" customHeight="1">
      <c r="A32" s="7" t="s">
        <v>113</v>
      </c>
      <c r="B32" s="7" t="s">
        <v>99</v>
      </c>
      <c r="C32" s="7" t="s">
        <v>114</v>
      </c>
      <c r="D32" s="7">
        <v>130</v>
      </c>
      <c r="E32" s="7">
        <v>5</v>
      </c>
      <c r="F32" s="7" t="s">
        <v>37</v>
      </c>
      <c r="G32" s="7"/>
      <c r="H32">
        <f t="shared" si="0"/>
        <v>650</v>
      </c>
      <c r="M32" t="str">
        <f t="shared" si="1"/>
        <v>Standard Price</v>
      </c>
      <c r="P32" t="str">
        <f t="shared" si="2"/>
        <v>24</v>
      </c>
      <c r="Q32" t="str">
        <f t="shared" si="3"/>
        <v>CA</v>
      </c>
      <c r="R32" t="str">
        <f t="shared" si="4"/>
        <v>MAY</v>
      </c>
    </row>
    <row r="33" spans="1:18" ht="15.75" customHeight="1">
      <c r="A33" s="8" t="s">
        <v>115</v>
      </c>
      <c r="B33" s="8" t="s">
        <v>116</v>
      </c>
      <c r="C33" s="8" t="s">
        <v>117</v>
      </c>
      <c r="D33" s="8">
        <v>50</v>
      </c>
      <c r="E33" s="8">
        <v>50</v>
      </c>
      <c r="F33" s="8" t="s">
        <v>41</v>
      </c>
      <c r="G33" s="7"/>
      <c r="H33">
        <f t="shared" si="0"/>
        <v>2500</v>
      </c>
      <c r="M33" t="str">
        <f t="shared" si="1"/>
        <v>Standard Price</v>
      </c>
      <c r="P33" t="str">
        <f t="shared" si="2"/>
        <v>02</v>
      </c>
      <c r="Q33" t="str">
        <f t="shared" si="3"/>
        <v>CA</v>
      </c>
      <c r="R33" t="str">
        <f t="shared" si="4"/>
        <v>DEC</v>
      </c>
    </row>
    <row r="34" spans="1:18" ht="15.75" customHeight="1">
      <c r="A34" s="7" t="s">
        <v>68</v>
      </c>
      <c r="B34" s="7" t="s">
        <v>35</v>
      </c>
      <c r="C34" s="7" t="s">
        <v>69</v>
      </c>
      <c r="D34" s="7">
        <v>950</v>
      </c>
      <c r="E34" s="7">
        <v>25</v>
      </c>
      <c r="F34" s="7" t="s">
        <v>37</v>
      </c>
      <c r="G34" s="7"/>
      <c r="H34">
        <f t="shared" si="0"/>
        <v>23750</v>
      </c>
      <c r="M34" t="str">
        <f t="shared" si="1"/>
        <v>High Price</v>
      </c>
      <c r="P34" t="str">
        <f t="shared" si="2"/>
        <v>17</v>
      </c>
      <c r="Q34" t="str">
        <f t="shared" si="3"/>
        <v>IN</v>
      </c>
      <c r="R34" t="str">
        <f t="shared" si="4"/>
        <v>JUN</v>
      </c>
    </row>
    <row r="35" spans="1:18" ht="15.75" customHeight="1">
      <c r="A35" s="8" t="s">
        <v>118</v>
      </c>
      <c r="B35" s="8" t="s">
        <v>119</v>
      </c>
      <c r="C35" s="8" t="s">
        <v>120</v>
      </c>
      <c r="D35" s="8">
        <v>100</v>
      </c>
      <c r="E35" s="8">
        <v>20</v>
      </c>
      <c r="F35" s="8" t="s">
        <v>81</v>
      </c>
      <c r="G35" s="7"/>
      <c r="H35">
        <f t="shared" si="0"/>
        <v>2000</v>
      </c>
      <c r="M35" t="str">
        <f t="shared" si="1"/>
        <v>Standard Price</v>
      </c>
      <c r="P35" t="str">
        <f t="shared" si="2"/>
        <v>09</v>
      </c>
      <c r="Q35" t="str">
        <f t="shared" si="3"/>
        <v>FR</v>
      </c>
      <c r="R35" t="str">
        <f t="shared" si="4"/>
        <v>JUL</v>
      </c>
    </row>
    <row r="36" spans="1:18" ht="15.75" customHeight="1">
      <c r="H36">
        <f>SUM(H2:H35)</f>
        <v>289700</v>
      </c>
    </row>
    <row r="37" spans="1:18" ht="15.75" customHeight="1"/>
    <row r="38" spans="1:18" ht="15.75" customHeight="1"/>
    <row r="39" spans="1:18" ht="15.75" customHeight="1"/>
    <row r="40" spans="1:18" ht="15.75" customHeight="1"/>
    <row r="41" spans="1:18" ht="15.75" customHeight="1"/>
    <row r="42" spans="1:18" ht="15.75" customHeight="1"/>
    <row r="43" spans="1:18" ht="15.75" customHeight="1"/>
    <row r="44" spans="1:18" ht="15.75" customHeight="1"/>
    <row r="45" spans="1:18" ht="15.75" customHeight="1"/>
    <row r="46" spans="1:18" ht="15.75" customHeight="1"/>
    <row r="47" spans="1:18" ht="15.75" customHeight="1"/>
    <row r="48" spans="1:1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2026-08-16T18:44:32Z</dcterms:created>
  <dcterms:modified xsi:type="dcterms:W3CDTF">2026-08-16T20:19:14Z</dcterms:modified>
  <cp:category/>
  <cp:contentStatus/>
</cp:coreProperties>
</file>